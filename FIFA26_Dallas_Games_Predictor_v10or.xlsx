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oparto365.sharepoint.com/sites/StrategicAnalyticsDataScienceTeamDrive/Shared Documents/FIFA'26 Dallas Games Tracker/"/>
    </mc:Choice>
  </mc:AlternateContent>
  <xr:revisionPtr revIDLastSave="18" documentId="8_{604C4CDB-D193-481E-8B09-0197AF66789C}" xr6:coauthVersionLast="47" xr6:coauthVersionMax="47" xr10:uidLastSave="{314D8667-DA03-43D2-97D8-C193BC9271D8}"/>
  <bookViews>
    <workbookView xWindow="-110" yWindow="490" windowWidth="32220" windowHeight="18900" tabRatio="500" firstSheet="1" activeTab="10" xr2:uid="{00000000-000D-0000-FFFF-FFFF00000000}"/>
  </bookViews>
  <sheets>
    <sheet name="SCHEDULE" sheetId="2" r:id="rId1"/>
    <sheet name="DALLAS GAMES" sheetId="12" r:id="rId2"/>
    <sheet name="DASHBOARD" sheetId="11" r:id="rId3"/>
    <sheet name="ODDS" sheetId="1" r:id="rId4"/>
    <sheet name="POINTS" sheetId="3" r:id="rId5"/>
    <sheet name="CALC" sheetId="4" r:id="rId6"/>
    <sheet name="M78" sheetId="5" r:id="rId7"/>
    <sheet name="M83" sheetId="6" r:id="rId8"/>
    <sheet name="M84" sheetId="7" r:id="rId9"/>
    <sheet name="M88" sheetId="8" r:id="rId10"/>
    <sheet name="M93" sheetId="9" r:id="rId11"/>
    <sheet name="M101" sheetId="10" r:id="rId12"/>
  </sheets>
  <definedNames>
    <definedName name="_xlnm._FilterDatabase" localSheetId="0" hidden="1">SCHEDULE!$A$4:$G$108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9" l="1"/>
  <c r="D90" i="9"/>
  <c r="B91" i="9"/>
  <c r="B90" i="9"/>
  <c r="C90" i="9"/>
  <c r="E90" i="9"/>
  <c r="F90" i="9"/>
  <c r="C91" i="9"/>
  <c r="E91" i="9"/>
  <c r="F91" i="9"/>
  <c r="D42" i="1"/>
  <c r="D43" i="1"/>
  <c r="D44" i="1"/>
  <c r="D41" i="1"/>
  <c r="D37" i="1"/>
  <c r="D38" i="1"/>
  <c r="C38" i="4" s="1"/>
  <c r="D39" i="1"/>
  <c r="C39" i="4" s="1"/>
  <c r="D36" i="1"/>
  <c r="D32" i="1"/>
  <c r="C32" i="4" s="1"/>
  <c r="D33" i="1"/>
  <c r="C33" i="4" s="1"/>
  <c r="D34" i="1"/>
  <c r="C34" i="4" s="1"/>
  <c r="D31" i="1"/>
  <c r="D27" i="1"/>
  <c r="D28" i="1"/>
  <c r="C28" i="4" s="1"/>
  <c r="D29" i="1"/>
  <c r="D26" i="1"/>
  <c r="D22" i="1"/>
  <c r="D23" i="1"/>
  <c r="D24" i="1"/>
  <c r="D21" i="1"/>
  <c r="D17" i="1"/>
  <c r="D18" i="1"/>
  <c r="D19" i="1"/>
  <c r="D16" i="1"/>
  <c r="C19" i="4"/>
  <c r="D12" i="1"/>
  <c r="C12" i="4" s="1"/>
  <c r="D13" i="1"/>
  <c r="C13" i="4" s="1"/>
  <c r="D14" i="1"/>
  <c r="D11" i="1"/>
  <c r="D7" i="1"/>
  <c r="D8" i="1"/>
  <c r="D9" i="1"/>
  <c r="D6" i="1"/>
  <c r="C6" i="4" s="1"/>
  <c r="D42" i="4"/>
  <c r="D43" i="4"/>
  <c r="D44" i="4"/>
  <c r="D41" i="4"/>
  <c r="D37" i="4"/>
  <c r="D38" i="4"/>
  <c r="D39" i="4"/>
  <c r="D36" i="4"/>
  <c r="D32" i="4"/>
  <c r="D33" i="4"/>
  <c r="D34" i="4"/>
  <c r="D31" i="4"/>
  <c r="D27" i="4"/>
  <c r="D28" i="4"/>
  <c r="D29" i="4"/>
  <c r="D26" i="4"/>
  <c r="D22" i="4"/>
  <c r="D23" i="4"/>
  <c r="D24" i="4"/>
  <c r="D21" i="4"/>
  <c r="D17" i="4"/>
  <c r="D18" i="4"/>
  <c r="D19" i="4"/>
  <c r="D16" i="4"/>
  <c r="D12" i="4"/>
  <c r="D13" i="4"/>
  <c r="D14" i="4"/>
  <c r="D11" i="4"/>
  <c r="D7" i="4"/>
  <c r="D8" i="4"/>
  <c r="D9" i="4"/>
  <c r="D6" i="4"/>
  <c r="C42" i="4"/>
  <c r="C43" i="4"/>
  <c r="C44" i="4"/>
  <c r="C41" i="4"/>
  <c r="C37" i="4"/>
  <c r="C36" i="4"/>
  <c r="C31" i="4"/>
  <c r="C27" i="4"/>
  <c r="C23" i="4"/>
  <c r="C24" i="4"/>
  <c r="C21" i="4"/>
  <c r="C18" i="4"/>
  <c r="C14" i="4"/>
  <c r="C11" i="4"/>
  <c r="D36" i="11"/>
  <c r="D37" i="11"/>
  <c r="D38" i="11"/>
  <c r="B37" i="11"/>
  <c r="B38" i="11"/>
  <c r="B36" i="11"/>
  <c r="B8" i="10"/>
  <c r="C8" i="10" s="1"/>
  <c r="E19" i="10" s="1"/>
  <c r="E36" i="11" s="1"/>
  <c r="B9" i="10"/>
  <c r="C9" i="10" s="1"/>
  <c r="E20" i="10" s="1"/>
  <c r="E37" i="11" s="1"/>
  <c r="B10" i="10"/>
  <c r="C10" i="10" s="1"/>
  <c r="B11" i="10"/>
  <c r="C11" i="10" s="1"/>
  <c r="B12" i="10"/>
  <c r="C12" i="10" s="1"/>
  <c r="B13" i="10"/>
  <c r="C13" i="10" s="1"/>
  <c r="B14" i="10"/>
  <c r="C14" i="10" s="1"/>
  <c r="B7" i="10"/>
  <c r="C7" i="10" s="1"/>
  <c r="E93" i="1"/>
  <c r="E92" i="1"/>
  <c r="B3" i="6"/>
  <c r="B3" i="5"/>
  <c r="B6" i="3"/>
  <c r="I6" i="3" s="1"/>
  <c r="D21" i="10"/>
  <c r="B21" i="10"/>
  <c r="D20" i="10"/>
  <c r="B20" i="10"/>
  <c r="D19" i="10"/>
  <c r="B19" i="10"/>
  <c r="D82" i="9"/>
  <c r="B82" i="9"/>
  <c r="D81" i="9"/>
  <c r="B81" i="9"/>
  <c r="D80" i="9"/>
  <c r="B80" i="9"/>
  <c r="D79" i="9"/>
  <c r="B79" i="9"/>
  <c r="D78" i="9"/>
  <c r="B78" i="9"/>
  <c r="D77" i="9"/>
  <c r="B77" i="9"/>
  <c r="D76" i="9"/>
  <c r="B76" i="9"/>
  <c r="D75" i="9"/>
  <c r="B75" i="9"/>
  <c r="D74" i="9"/>
  <c r="B74" i="9"/>
  <c r="D73" i="9"/>
  <c r="B73" i="9"/>
  <c r="D72" i="9"/>
  <c r="B72" i="9"/>
  <c r="D71" i="9"/>
  <c r="B71" i="9"/>
  <c r="D70" i="9"/>
  <c r="B70" i="9"/>
  <c r="D69" i="9"/>
  <c r="B69" i="9"/>
  <c r="D68" i="9"/>
  <c r="B68" i="9"/>
  <c r="D67" i="9"/>
  <c r="B67" i="9"/>
  <c r="D66" i="9"/>
  <c r="B66" i="9"/>
  <c r="D65" i="9"/>
  <c r="B65" i="9"/>
  <c r="D64" i="9"/>
  <c r="B64" i="9"/>
  <c r="D63" i="9"/>
  <c r="B63" i="9"/>
  <c r="D62" i="9"/>
  <c r="B62" i="9"/>
  <c r="D61" i="9"/>
  <c r="B61" i="9"/>
  <c r="D60" i="9"/>
  <c r="B60" i="9"/>
  <c r="D59" i="9"/>
  <c r="B59" i="9"/>
  <c r="D58" i="9"/>
  <c r="B58" i="9"/>
  <c r="D57" i="9"/>
  <c r="B57" i="9"/>
  <c r="D56" i="9"/>
  <c r="B56" i="9"/>
  <c r="D55" i="9"/>
  <c r="B55" i="9"/>
  <c r="D54" i="9"/>
  <c r="B54" i="9"/>
  <c r="D53" i="9"/>
  <c r="B53" i="9"/>
  <c r="D52" i="9"/>
  <c r="B52" i="9"/>
  <c r="D51" i="9"/>
  <c r="B51" i="9"/>
  <c r="D50" i="9"/>
  <c r="B50" i="9"/>
  <c r="D49" i="9"/>
  <c r="B49" i="9"/>
  <c r="D48" i="9"/>
  <c r="B48" i="9"/>
  <c r="D47" i="9"/>
  <c r="B47" i="9"/>
  <c r="D46" i="9"/>
  <c r="B46" i="9"/>
  <c r="D45" i="9"/>
  <c r="B45" i="9"/>
  <c r="D44" i="9"/>
  <c r="B44" i="9"/>
  <c r="D43" i="9"/>
  <c r="B43" i="9"/>
  <c r="D42" i="9"/>
  <c r="B42" i="9"/>
  <c r="D41" i="9"/>
  <c r="B41" i="9"/>
  <c r="D40" i="9"/>
  <c r="B40" i="9"/>
  <c r="D39" i="9"/>
  <c r="B39" i="9"/>
  <c r="D38" i="9"/>
  <c r="B38" i="9"/>
  <c r="D37" i="9"/>
  <c r="B37" i="9"/>
  <c r="D36" i="9"/>
  <c r="B36" i="9"/>
  <c r="D35" i="9"/>
  <c r="B35" i="9"/>
  <c r="D34" i="9"/>
  <c r="B34" i="9"/>
  <c r="D33" i="9"/>
  <c r="B33" i="9"/>
  <c r="D32" i="9"/>
  <c r="B32" i="9"/>
  <c r="D31" i="9"/>
  <c r="B31" i="9"/>
  <c r="D30" i="9"/>
  <c r="B30" i="9"/>
  <c r="D29" i="9"/>
  <c r="B29" i="9"/>
  <c r="D28" i="9"/>
  <c r="B28" i="9"/>
  <c r="D27" i="9"/>
  <c r="B27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D30" i="8"/>
  <c r="B30" i="8"/>
  <c r="D29" i="8"/>
  <c r="B29" i="8"/>
  <c r="D28" i="8"/>
  <c r="B28" i="8"/>
  <c r="D27" i="8"/>
  <c r="B27" i="8"/>
  <c r="D26" i="8"/>
  <c r="B26" i="8"/>
  <c r="D25" i="8"/>
  <c r="B25" i="8"/>
  <c r="D24" i="8"/>
  <c r="B24" i="8"/>
  <c r="D23" i="8"/>
  <c r="B23" i="8"/>
  <c r="D22" i="8"/>
  <c r="B22" i="8"/>
  <c r="D21" i="8"/>
  <c r="B21" i="8"/>
  <c r="D20" i="8"/>
  <c r="B20" i="8"/>
  <c r="D19" i="8"/>
  <c r="B19" i="8"/>
  <c r="D18" i="8"/>
  <c r="B18" i="8"/>
  <c r="D17" i="8"/>
  <c r="B17" i="8"/>
  <c r="D16" i="8"/>
  <c r="B16" i="8"/>
  <c r="D15" i="8"/>
  <c r="B15" i="8"/>
  <c r="D30" i="7"/>
  <c r="B30" i="7"/>
  <c r="D29" i="7"/>
  <c r="B29" i="7"/>
  <c r="D28" i="7"/>
  <c r="B28" i="7"/>
  <c r="D27" i="7"/>
  <c r="B27" i="7"/>
  <c r="D26" i="7"/>
  <c r="B26" i="7"/>
  <c r="D25" i="7"/>
  <c r="B25" i="7"/>
  <c r="D24" i="7"/>
  <c r="B24" i="7"/>
  <c r="D23" i="7"/>
  <c r="B23" i="7"/>
  <c r="D22" i="7"/>
  <c r="B22" i="7"/>
  <c r="D21" i="7"/>
  <c r="B21" i="7"/>
  <c r="D20" i="7"/>
  <c r="B20" i="7"/>
  <c r="D19" i="7"/>
  <c r="B19" i="7"/>
  <c r="D18" i="7"/>
  <c r="B18" i="7"/>
  <c r="D17" i="7"/>
  <c r="B17" i="7"/>
  <c r="D16" i="7"/>
  <c r="B16" i="7"/>
  <c r="D15" i="7"/>
  <c r="B15" i="7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C29" i="4"/>
  <c r="C26" i="4"/>
  <c r="C22" i="4"/>
  <c r="C17" i="4"/>
  <c r="C16" i="4"/>
  <c r="C9" i="4"/>
  <c r="C8" i="4"/>
  <c r="C7" i="4"/>
  <c r="D58" i="3"/>
  <c r="C58" i="3"/>
  <c r="B58" i="3"/>
  <c r="H58" i="3" s="1"/>
  <c r="D57" i="3"/>
  <c r="C57" i="3"/>
  <c r="B57" i="3"/>
  <c r="I57" i="3" s="1"/>
  <c r="H43" i="4" s="1"/>
  <c r="D56" i="3"/>
  <c r="C56" i="3"/>
  <c r="B56" i="3"/>
  <c r="I56" i="3" s="1"/>
  <c r="H42" i="4" s="1"/>
  <c r="D55" i="3"/>
  <c r="C55" i="3"/>
  <c r="B55" i="3"/>
  <c r="I55" i="3" s="1"/>
  <c r="H41" i="4" s="1"/>
  <c r="D51" i="3"/>
  <c r="C51" i="3"/>
  <c r="B51" i="3"/>
  <c r="I51" i="3" s="1"/>
  <c r="H39" i="4" s="1"/>
  <c r="D50" i="3"/>
  <c r="C50" i="3"/>
  <c r="B50" i="3"/>
  <c r="D49" i="3"/>
  <c r="C49" i="3"/>
  <c r="B49" i="3"/>
  <c r="I49" i="3" s="1"/>
  <c r="H37" i="4" s="1"/>
  <c r="D48" i="3"/>
  <c r="C48" i="3"/>
  <c r="B48" i="3"/>
  <c r="H48" i="3" s="1"/>
  <c r="D44" i="3"/>
  <c r="C44" i="3"/>
  <c r="B44" i="3"/>
  <c r="I44" i="3" s="1"/>
  <c r="H34" i="4" s="1"/>
  <c r="D43" i="3"/>
  <c r="C43" i="3"/>
  <c r="B43" i="3"/>
  <c r="I43" i="3" s="1"/>
  <c r="H33" i="4" s="1"/>
  <c r="D42" i="3"/>
  <c r="C42" i="3"/>
  <c r="B42" i="3"/>
  <c r="I42" i="3" s="1"/>
  <c r="H32" i="4" s="1"/>
  <c r="D41" i="3"/>
  <c r="C41" i="3"/>
  <c r="B41" i="3"/>
  <c r="I41" i="3" s="1"/>
  <c r="H31" i="4" s="1"/>
  <c r="D37" i="3"/>
  <c r="C37" i="3"/>
  <c r="B37" i="3"/>
  <c r="H37" i="3" s="1"/>
  <c r="D36" i="3"/>
  <c r="C36" i="3"/>
  <c r="B36" i="3"/>
  <c r="I36" i="3" s="1"/>
  <c r="H28" i="4" s="1"/>
  <c r="D35" i="3"/>
  <c r="C35" i="3"/>
  <c r="B35" i="3"/>
  <c r="I35" i="3" s="1"/>
  <c r="H27" i="4" s="1"/>
  <c r="D34" i="3"/>
  <c r="C34" i="3"/>
  <c r="B34" i="3"/>
  <c r="I34" i="3" s="1"/>
  <c r="H26" i="4" s="1"/>
  <c r="D30" i="3"/>
  <c r="C30" i="3"/>
  <c r="B30" i="3"/>
  <c r="I30" i="3" s="1"/>
  <c r="H24" i="4" s="1"/>
  <c r="D29" i="3"/>
  <c r="C29" i="3"/>
  <c r="B29" i="3"/>
  <c r="I29" i="3" s="1"/>
  <c r="H23" i="4" s="1"/>
  <c r="D28" i="3"/>
  <c r="C28" i="3"/>
  <c r="B28" i="3"/>
  <c r="I28" i="3" s="1"/>
  <c r="H22" i="4" s="1"/>
  <c r="D27" i="3"/>
  <c r="C27" i="3"/>
  <c r="B27" i="3"/>
  <c r="H27" i="3" s="1"/>
  <c r="D23" i="3"/>
  <c r="C23" i="3"/>
  <c r="B23" i="3"/>
  <c r="H23" i="3" s="1"/>
  <c r="D22" i="3"/>
  <c r="C22" i="3"/>
  <c r="B22" i="3"/>
  <c r="H22" i="3" s="1"/>
  <c r="D21" i="3"/>
  <c r="C21" i="3"/>
  <c r="B21" i="3"/>
  <c r="H21" i="3" s="1"/>
  <c r="D20" i="3"/>
  <c r="C20" i="3"/>
  <c r="B20" i="3"/>
  <c r="I20" i="3" s="1"/>
  <c r="H16" i="4" s="1"/>
  <c r="D16" i="3"/>
  <c r="C16" i="3"/>
  <c r="B16" i="3"/>
  <c r="D15" i="3"/>
  <c r="C15" i="3"/>
  <c r="B15" i="3"/>
  <c r="I15" i="3" s="1"/>
  <c r="H13" i="4" s="1"/>
  <c r="D14" i="3"/>
  <c r="C14" i="3"/>
  <c r="B14" i="3"/>
  <c r="I14" i="3" s="1"/>
  <c r="H12" i="4" s="1"/>
  <c r="D13" i="3"/>
  <c r="C13" i="3"/>
  <c r="B13" i="3"/>
  <c r="I13" i="3" s="1"/>
  <c r="H11" i="4" s="1"/>
  <c r="D9" i="3"/>
  <c r="C9" i="3"/>
  <c r="B9" i="3"/>
  <c r="I9" i="3" s="1"/>
  <c r="H9" i="4" s="1"/>
  <c r="D8" i="3"/>
  <c r="C8" i="3"/>
  <c r="B8" i="3"/>
  <c r="I8" i="3" s="1"/>
  <c r="H8" i="4" s="1"/>
  <c r="D7" i="3"/>
  <c r="C7" i="3"/>
  <c r="B7" i="3"/>
  <c r="I7" i="3" s="1"/>
  <c r="H7" i="4" s="1"/>
  <c r="D6" i="3"/>
  <c r="C6" i="3"/>
  <c r="G55" i="3" l="1"/>
  <c r="F7" i="4"/>
  <c r="F33" i="4"/>
  <c r="F42" i="4"/>
  <c r="F29" i="4"/>
  <c r="F38" i="4"/>
  <c r="F8" i="4"/>
  <c r="F26" i="4"/>
  <c r="F9" i="4"/>
  <c r="F36" i="4"/>
  <c r="E16" i="4"/>
  <c r="G16" i="4" s="1"/>
  <c r="J16" i="4" s="1"/>
  <c r="G7" i="8" s="1"/>
  <c r="E19" i="4"/>
  <c r="G19" i="4" s="1"/>
  <c r="F24" i="4"/>
  <c r="E23" i="4"/>
  <c r="G23" i="4" s="1"/>
  <c r="J23" i="4" s="1"/>
  <c r="F14" i="4"/>
  <c r="F28" i="4"/>
  <c r="E39" i="4"/>
  <c r="G39" i="4" s="1"/>
  <c r="J39" i="4" s="1"/>
  <c r="F39" i="4"/>
  <c r="E41" i="4"/>
  <c r="G41" i="4" s="1"/>
  <c r="J41" i="4" s="1"/>
  <c r="E29" i="4"/>
  <c r="G29" i="4" s="1"/>
  <c r="E43" i="4"/>
  <c r="G43" i="4" s="1"/>
  <c r="J43" i="4" s="1"/>
  <c r="F19" i="4"/>
  <c r="E44" i="4"/>
  <c r="G44" i="4" s="1"/>
  <c r="E12" i="4"/>
  <c r="G12" i="4" s="1"/>
  <c r="J12" i="4" s="1"/>
  <c r="B8" i="5" s="1"/>
  <c r="E21" i="4"/>
  <c r="G21" i="4" s="1"/>
  <c r="E9" i="4"/>
  <c r="G9" i="4" s="1"/>
  <c r="J9" i="4" s="1"/>
  <c r="B10" i="8" s="1"/>
  <c r="F44" i="4"/>
  <c r="E22" i="4"/>
  <c r="G22" i="4" s="1"/>
  <c r="J22" i="4" s="1"/>
  <c r="F27" i="4"/>
  <c r="F34" i="4"/>
  <c r="F41" i="4"/>
  <c r="E14" i="4"/>
  <c r="G14" i="4" s="1"/>
  <c r="E28" i="4"/>
  <c r="G28" i="4" s="1"/>
  <c r="J28" i="4" s="1"/>
  <c r="G9" i="5" s="1"/>
  <c r="E36" i="4"/>
  <c r="G36" i="4" s="1"/>
  <c r="E42" i="4"/>
  <c r="G42" i="4" s="1"/>
  <c r="J42" i="4" s="1"/>
  <c r="F12" i="4"/>
  <c r="F6" i="4"/>
  <c r="E31" i="4"/>
  <c r="G31" i="4" s="1"/>
  <c r="J31" i="4" s="1"/>
  <c r="F43" i="4"/>
  <c r="E17" i="4"/>
  <c r="G17" i="4" s="1"/>
  <c r="F23" i="4"/>
  <c r="F17" i="4"/>
  <c r="F13" i="4"/>
  <c r="E24" i="4"/>
  <c r="G24" i="4" s="1"/>
  <c r="J24" i="4" s="1"/>
  <c r="F22" i="4"/>
  <c r="E11" i="4"/>
  <c r="G11" i="4" s="1"/>
  <c r="J11" i="4" s="1"/>
  <c r="B7" i="5" s="1"/>
  <c r="F18" i="4"/>
  <c r="E8" i="4"/>
  <c r="G8" i="4" s="1"/>
  <c r="J8" i="4" s="1"/>
  <c r="B9" i="8" s="1"/>
  <c r="E37" i="4"/>
  <c r="G37" i="4" s="1"/>
  <c r="J37" i="4" s="1"/>
  <c r="F16" i="4"/>
  <c r="E38" i="4"/>
  <c r="G38" i="4" s="1"/>
  <c r="F11" i="4"/>
  <c r="C20" i="10"/>
  <c r="C37" i="11" s="1"/>
  <c r="E11" i="10"/>
  <c r="E7" i="10"/>
  <c r="C19" i="10"/>
  <c r="E13" i="10"/>
  <c r="E12" i="10"/>
  <c r="E14" i="10"/>
  <c r="E10" i="10"/>
  <c r="G51" i="3"/>
  <c r="G36" i="3"/>
  <c r="G7" i="3"/>
  <c r="G14" i="3"/>
  <c r="I48" i="3"/>
  <c r="H36" i="4" s="1"/>
  <c r="I36" i="4" s="1"/>
  <c r="G21" i="3"/>
  <c r="G29" i="3"/>
  <c r="H8" i="3"/>
  <c r="G16" i="3"/>
  <c r="I23" i="3"/>
  <c r="H19" i="4" s="1"/>
  <c r="K19" i="4" s="1"/>
  <c r="G27" i="3"/>
  <c r="G20" i="3"/>
  <c r="G43" i="3"/>
  <c r="G22" i="3"/>
  <c r="G23" i="3"/>
  <c r="G41" i="3"/>
  <c r="E6" i="3"/>
  <c r="G34" i="3"/>
  <c r="G57" i="3"/>
  <c r="G6" i="3"/>
  <c r="H6" i="3" s="1"/>
  <c r="E13" i="3"/>
  <c r="G35" i="3"/>
  <c r="G28" i="3"/>
  <c r="G44" i="3"/>
  <c r="I22" i="3"/>
  <c r="H18" i="4" s="1"/>
  <c r="K18" i="4" s="1"/>
  <c r="H29" i="3"/>
  <c r="G8" i="3"/>
  <c r="G37" i="3"/>
  <c r="G9" i="3"/>
  <c r="I21" i="3"/>
  <c r="H17" i="4" s="1"/>
  <c r="I17" i="4" s="1"/>
  <c r="E16" i="3"/>
  <c r="G42" i="3"/>
  <c r="E29" i="3"/>
  <c r="E42" i="3"/>
  <c r="G56" i="3"/>
  <c r="E22" i="3"/>
  <c r="G49" i="3"/>
  <c r="E49" i="3"/>
  <c r="E50" i="3"/>
  <c r="H20" i="3"/>
  <c r="G50" i="3"/>
  <c r="G58" i="3"/>
  <c r="H44" i="3"/>
  <c r="E21" i="3"/>
  <c r="G30" i="3"/>
  <c r="E41" i="3"/>
  <c r="H6" i="4"/>
  <c r="K6" i="4" s="1"/>
  <c r="G15" i="3"/>
  <c r="I27" i="3"/>
  <c r="H21" i="4" s="1"/>
  <c r="K21" i="4" s="1"/>
  <c r="H41" i="3"/>
  <c r="G48" i="3"/>
  <c r="K32" i="4"/>
  <c r="I32" i="4"/>
  <c r="K13" i="4"/>
  <c r="I13" i="4"/>
  <c r="K41" i="4"/>
  <c r="I41" i="4"/>
  <c r="K8" i="4"/>
  <c r="I8" i="4"/>
  <c r="K23" i="4"/>
  <c r="I23" i="4"/>
  <c r="I9" i="4"/>
  <c r="K9" i="4"/>
  <c r="K42" i="4"/>
  <c r="I42" i="4"/>
  <c r="K28" i="4"/>
  <c r="I28" i="4"/>
  <c r="K43" i="4"/>
  <c r="I43" i="4"/>
  <c r="K37" i="4"/>
  <c r="I37" i="4"/>
  <c r="K24" i="4"/>
  <c r="I24" i="4"/>
  <c r="K11" i="4"/>
  <c r="I11" i="4"/>
  <c r="K7" i="4"/>
  <c r="I7" i="4"/>
  <c r="K33" i="4"/>
  <c r="I33" i="4"/>
  <c r="K22" i="4"/>
  <c r="I22" i="4"/>
  <c r="K31" i="4"/>
  <c r="I31" i="4"/>
  <c r="K16" i="4"/>
  <c r="I16" i="4"/>
  <c r="K26" i="4"/>
  <c r="I26" i="4"/>
  <c r="K12" i="4"/>
  <c r="I12" i="4"/>
  <c r="K27" i="4"/>
  <c r="I27" i="4"/>
  <c r="K34" i="4"/>
  <c r="I34" i="4"/>
  <c r="K39" i="4"/>
  <c r="I39" i="4"/>
  <c r="I16" i="3"/>
  <c r="H14" i="4" s="1"/>
  <c r="E34" i="3"/>
  <c r="I37" i="3"/>
  <c r="H29" i="4" s="1"/>
  <c r="H50" i="3"/>
  <c r="E55" i="3"/>
  <c r="I58" i="3"/>
  <c r="H44" i="4" s="1"/>
  <c r="E7" i="4"/>
  <c r="G7" i="4" s="1"/>
  <c r="J7" i="4" s="1"/>
  <c r="B8" i="8" s="1"/>
  <c r="E8" i="3"/>
  <c r="G13" i="3"/>
  <c r="E23" i="3"/>
  <c r="H42" i="3"/>
  <c r="E44" i="3"/>
  <c r="I50" i="3"/>
  <c r="H38" i="4" s="1"/>
  <c r="E34" i="4"/>
  <c r="G34" i="4" s="1"/>
  <c r="J34" i="4" s="1"/>
  <c r="H34" i="3"/>
  <c r="E36" i="3"/>
  <c r="H55" i="3"/>
  <c r="E57" i="3"/>
  <c r="E27" i="4"/>
  <c r="G27" i="4" s="1"/>
  <c r="J27" i="4" s="1"/>
  <c r="G8" i="5" s="1"/>
  <c r="H16" i="3"/>
  <c r="H13" i="3"/>
  <c r="E15" i="3"/>
  <c r="E7" i="3"/>
  <c r="E28" i="3"/>
  <c r="E6" i="4"/>
  <c r="G6" i="4" s="1"/>
  <c r="F31" i="4"/>
  <c r="H15" i="3"/>
  <c r="E20" i="3"/>
  <c r="H36" i="3"/>
  <c r="H57" i="3"/>
  <c r="E18" i="4"/>
  <c r="G18" i="4" s="1"/>
  <c r="E26" i="4"/>
  <c r="G26" i="4" s="1"/>
  <c r="J26" i="4" s="1"/>
  <c r="G7" i="5" s="1"/>
  <c r="H7" i="3"/>
  <c r="E9" i="3"/>
  <c r="H28" i="3"/>
  <c r="E30" i="3"/>
  <c r="H49" i="3"/>
  <c r="E51" i="3"/>
  <c r="F37" i="4"/>
  <c r="E43" i="3"/>
  <c r="E33" i="4"/>
  <c r="G33" i="4" s="1"/>
  <c r="J33" i="4" s="1"/>
  <c r="H9" i="3"/>
  <c r="E14" i="3"/>
  <c r="H30" i="3"/>
  <c r="E35" i="3"/>
  <c r="H51" i="3"/>
  <c r="E56" i="3"/>
  <c r="E13" i="4"/>
  <c r="G13" i="4" s="1"/>
  <c r="J13" i="4" s="1"/>
  <c r="B9" i="5" s="1"/>
  <c r="E27" i="3"/>
  <c r="H43" i="3"/>
  <c r="E48" i="3"/>
  <c r="H14" i="3"/>
  <c r="H35" i="3"/>
  <c r="E37" i="3"/>
  <c r="H56" i="3"/>
  <c r="E58" i="3"/>
  <c r="F21" i="4"/>
  <c r="E32" i="4"/>
  <c r="G32" i="4" s="1"/>
  <c r="J32" i="4" s="1"/>
  <c r="F32" i="4"/>
  <c r="E8" i="10"/>
  <c r="C21" i="10"/>
  <c r="C38" i="11" s="1"/>
  <c r="E9" i="10"/>
  <c r="E21" i="10"/>
  <c r="E38" i="11" s="1"/>
  <c r="F19" i="10" l="1"/>
  <c r="F36" i="11" s="1"/>
  <c r="C36" i="11"/>
  <c r="F20" i="10"/>
  <c r="F37" i="11" s="1"/>
  <c r="I19" i="4"/>
  <c r="J36" i="4"/>
  <c r="C7" i="9" s="1"/>
  <c r="D7" i="9" s="1"/>
  <c r="K36" i="4"/>
  <c r="I21" i="4"/>
  <c r="B7" i="7" s="1"/>
  <c r="J21" i="4"/>
  <c r="J19" i="4"/>
  <c r="G10" i="8" s="1"/>
  <c r="E18" i="8" s="1"/>
  <c r="I6" i="4"/>
  <c r="J6" i="4"/>
  <c r="B7" i="8" s="1"/>
  <c r="C17" i="8" s="1"/>
  <c r="J17" i="4"/>
  <c r="G8" i="8" s="1"/>
  <c r="I18" i="4"/>
  <c r="J18" i="4"/>
  <c r="G9" i="8" s="1"/>
  <c r="E25" i="8" s="1"/>
  <c r="K17" i="4"/>
  <c r="G9" i="7"/>
  <c r="H13" i="9"/>
  <c r="I13" i="9" s="1"/>
  <c r="H12" i="9"/>
  <c r="I12" i="9" s="1"/>
  <c r="G8" i="7"/>
  <c r="E28" i="5"/>
  <c r="E20" i="5"/>
  <c r="E24" i="5"/>
  <c r="E16" i="5"/>
  <c r="C21" i="8"/>
  <c r="C19" i="8"/>
  <c r="C22" i="8"/>
  <c r="C20" i="8"/>
  <c r="E23" i="5"/>
  <c r="E15" i="5"/>
  <c r="E27" i="5"/>
  <c r="E19" i="5"/>
  <c r="J29" i="4"/>
  <c r="G10" i="5" s="1"/>
  <c r="H8" i="5" s="1"/>
  <c r="I29" i="4"/>
  <c r="K29" i="4"/>
  <c r="G7" i="6"/>
  <c r="C11" i="9"/>
  <c r="D11" i="9" s="1"/>
  <c r="C26" i="5"/>
  <c r="C24" i="5"/>
  <c r="C23" i="5"/>
  <c r="C25" i="5"/>
  <c r="H11" i="9"/>
  <c r="I11" i="9" s="1"/>
  <c r="G7" i="7"/>
  <c r="C13" i="9"/>
  <c r="D13" i="9" s="1"/>
  <c r="G9" i="6"/>
  <c r="H9" i="9"/>
  <c r="I9" i="9" s="1"/>
  <c r="B9" i="7"/>
  <c r="K38" i="4"/>
  <c r="J38" i="4"/>
  <c r="I38" i="4"/>
  <c r="C18" i="5"/>
  <c r="C16" i="5"/>
  <c r="C15" i="5"/>
  <c r="C17" i="5"/>
  <c r="C12" i="9"/>
  <c r="D12" i="9" s="1"/>
  <c r="G8" i="6"/>
  <c r="K14" i="4"/>
  <c r="J14" i="4"/>
  <c r="B10" i="5" s="1"/>
  <c r="C7" i="5" s="1"/>
  <c r="I14" i="4"/>
  <c r="C22" i="5"/>
  <c r="C20" i="5"/>
  <c r="C21" i="5"/>
  <c r="C19" i="5"/>
  <c r="B10" i="7"/>
  <c r="H10" i="9"/>
  <c r="I10" i="9" s="1"/>
  <c r="G10" i="7"/>
  <c r="H14" i="9"/>
  <c r="I14" i="9" s="1"/>
  <c r="H8" i="9"/>
  <c r="I8" i="9" s="1"/>
  <c r="B8" i="7"/>
  <c r="C10" i="9"/>
  <c r="D10" i="9" s="1"/>
  <c r="B10" i="6"/>
  <c r="K44" i="4"/>
  <c r="I44" i="4"/>
  <c r="J44" i="4"/>
  <c r="F21" i="10"/>
  <c r="F38" i="11" s="1"/>
  <c r="E27" i="8"/>
  <c r="E19" i="8"/>
  <c r="E23" i="8"/>
  <c r="E15" i="8"/>
  <c r="B8" i="6"/>
  <c r="C8" i="9"/>
  <c r="D8" i="9" s="1"/>
  <c r="E29" i="5"/>
  <c r="E21" i="5"/>
  <c r="E25" i="5"/>
  <c r="E17" i="5"/>
  <c r="C25" i="8"/>
  <c r="C23" i="8"/>
  <c r="C24" i="8"/>
  <c r="C26" i="8"/>
  <c r="C29" i="8"/>
  <c r="C27" i="8"/>
  <c r="C30" i="8"/>
  <c r="C28" i="8"/>
  <c r="H7" i="9" l="1"/>
  <c r="I7" i="9" s="1"/>
  <c r="E35" i="9" s="1"/>
  <c r="C18" i="8"/>
  <c r="F18" i="8" s="1"/>
  <c r="E21" i="8"/>
  <c r="F21" i="8" s="1"/>
  <c r="C16" i="8"/>
  <c r="C10" i="8"/>
  <c r="B7" i="6"/>
  <c r="C17" i="6" s="1"/>
  <c r="E22" i="8"/>
  <c r="F22" i="8" s="1"/>
  <c r="E26" i="8"/>
  <c r="F26" i="8" s="1"/>
  <c r="C8" i="8"/>
  <c r="C15" i="8"/>
  <c r="F15" i="8" s="1"/>
  <c r="E30" i="8"/>
  <c r="F30" i="8" s="1"/>
  <c r="C9" i="8"/>
  <c r="C7" i="8"/>
  <c r="H7" i="8"/>
  <c r="C8" i="5"/>
  <c r="F27" i="8"/>
  <c r="E29" i="8"/>
  <c r="F29" i="8" s="1"/>
  <c r="H7" i="5"/>
  <c r="H9" i="5"/>
  <c r="E20" i="8"/>
  <c r="F20" i="8" s="1"/>
  <c r="E28" i="8"/>
  <c r="F28" i="8" s="1"/>
  <c r="H8" i="8"/>
  <c r="E16" i="8"/>
  <c r="H10" i="8"/>
  <c r="E24" i="8"/>
  <c r="F24" i="8" s="1"/>
  <c r="H9" i="8"/>
  <c r="E17" i="8"/>
  <c r="F17" i="8" s="1"/>
  <c r="F23" i="5"/>
  <c r="F17" i="5"/>
  <c r="C9" i="5"/>
  <c r="F19" i="8"/>
  <c r="E27" i="7"/>
  <c r="E23" i="7"/>
  <c r="E19" i="7"/>
  <c r="E15" i="7"/>
  <c r="H7" i="7"/>
  <c r="E71" i="9"/>
  <c r="E47" i="9"/>
  <c r="E23" i="9"/>
  <c r="E55" i="9"/>
  <c r="E31" i="9"/>
  <c r="E79" i="9"/>
  <c r="E63" i="9"/>
  <c r="E39" i="9"/>
  <c r="F19" i="5"/>
  <c r="F15" i="5"/>
  <c r="F25" i="5"/>
  <c r="F16" i="5"/>
  <c r="C9" i="9"/>
  <c r="D9" i="9" s="1"/>
  <c r="B9" i="6"/>
  <c r="C33" i="9"/>
  <c r="C31" i="9"/>
  <c r="C29" i="9"/>
  <c r="C27" i="9"/>
  <c r="C32" i="9"/>
  <c r="C34" i="9"/>
  <c r="C28" i="9"/>
  <c r="C30" i="9"/>
  <c r="C20" i="6"/>
  <c r="C22" i="6"/>
  <c r="C19" i="6"/>
  <c r="C21" i="6"/>
  <c r="C15" i="7"/>
  <c r="C7" i="7"/>
  <c r="C17" i="7"/>
  <c r="C16" i="7"/>
  <c r="C18" i="7"/>
  <c r="H8" i="7"/>
  <c r="E24" i="7"/>
  <c r="E28" i="7"/>
  <c r="E16" i="7"/>
  <c r="E20" i="7"/>
  <c r="E27" i="6"/>
  <c r="E23" i="6"/>
  <c r="E19" i="6"/>
  <c r="E15" i="6"/>
  <c r="F23" i="8"/>
  <c r="E76" i="9"/>
  <c r="E68" i="9"/>
  <c r="E60" i="9"/>
  <c r="E52" i="9"/>
  <c r="E44" i="9"/>
  <c r="E36" i="9"/>
  <c r="E28" i="9"/>
  <c r="E20" i="9"/>
  <c r="E53" i="9"/>
  <c r="E29" i="9"/>
  <c r="E77" i="9"/>
  <c r="E61" i="9"/>
  <c r="E37" i="9"/>
  <c r="E69" i="9"/>
  <c r="E45" i="9"/>
  <c r="E21" i="9"/>
  <c r="E80" i="9"/>
  <c r="E72" i="9"/>
  <c r="E64" i="9"/>
  <c r="E56" i="9"/>
  <c r="E48" i="9"/>
  <c r="E40" i="9"/>
  <c r="E32" i="9"/>
  <c r="E24" i="9"/>
  <c r="C25" i="9"/>
  <c r="C23" i="9"/>
  <c r="C21" i="9"/>
  <c r="C19" i="9"/>
  <c r="C26" i="9"/>
  <c r="C20" i="9"/>
  <c r="C22" i="9"/>
  <c r="C24" i="9"/>
  <c r="F21" i="5"/>
  <c r="E22" i="7"/>
  <c r="H10" i="7"/>
  <c r="E26" i="7"/>
  <c r="E30" i="7"/>
  <c r="E18" i="7"/>
  <c r="C49" i="9"/>
  <c r="C47" i="9"/>
  <c r="C45" i="9"/>
  <c r="C43" i="9"/>
  <c r="C50" i="9"/>
  <c r="C44" i="9"/>
  <c r="C46" i="9"/>
  <c r="C48" i="9"/>
  <c r="C30" i="5"/>
  <c r="C28" i="5"/>
  <c r="F28" i="5" s="1"/>
  <c r="C29" i="5"/>
  <c r="F29" i="5" s="1"/>
  <c r="C10" i="5"/>
  <c r="C27" i="5"/>
  <c r="F27" i="5" s="1"/>
  <c r="C9" i="7"/>
  <c r="C24" i="7"/>
  <c r="C26" i="7"/>
  <c r="C23" i="7"/>
  <c r="C25" i="7"/>
  <c r="F25" i="8"/>
  <c r="E20" i="6"/>
  <c r="E24" i="6"/>
  <c r="E28" i="6"/>
  <c r="E16" i="6"/>
  <c r="E29" i="6"/>
  <c r="E25" i="6"/>
  <c r="E21" i="6"/>
  <c r="E17" i="6"/>
  <c r="E81" i="9"/>
  <c r="E65" i="9"/>
  <c r="E41" i="9"/>
  <c r="E73" i="9"/>
  <c r="E49" i="9"/>
  <c r="E25" i="9"/>
  <c r="E57" i="9"/>
  <c r="E33" i="9"/>
  <c r="E78" i="9"/>
  <c r="E70" i="9"/>
  <c r="E62" i="9"/>
  <c r="E54" i="9"/>
  <c r="E46" i="9"/>
  <c r="E38" i="9"/>
  <c r="E30" i="9"/>
  <c r="E22" i="9"/>
  <c r="G10" i="6"/>
  <c r="H9" i="6" s="1"/>
  <c r="C14" i="9"/>
  <c r="D14" i="9" s="1"/>
  <c r="C27" i="7"/>
  <c r="C29" i="7"/>
  <c r="C10" i="7"/>
  <c r="C28" i="7"/>
  <c r="C30" i="7"/>
  <c r="E82" i="9"/>
  <c r="E74" i="9"/>
  <c r="E66" i="9"/>
  <c r="E58" i="9"/>
  <c r="E50" i="9"/>
  <c r="E42" i="9"/>
  <c r="E34" i="9"/>
  <c r="E26" i="9"/>
  <c r="F20" i="5"/>
  <c r="F24" i="5"/>
  <c r="C28" i="6"/>
  <c r="C30" i="6"/>
  <c r="C27" i="6"/>
  <c r="C29" i="6"/>
  <c r="C57" i="9"/>
  <c r="C55" i="9"/>
  <c r="C53" i="9"/>
  <c r="C51" i="9"/>
  <c r="C56" i="9"/>
  <c r="C58" i="9"/>
  <c r="C52" i="9"/>
  <c r="C54" i="9"/>
  <c r="C20" i="7"/>
  <c r="C22" i="7"/>
  <c r="C19" i="7"/>
  <c r="C21" i="7"/>
  <c r="C8" i="7"/>
  <c r="C65" i="9"/>
  <c r="C63" i="9"/>
  <c r="C61" i="9"/>
  <c r="C59" i="9"/>
  <c r="C62" i="9"/>
  <c r="C64" i="9"/>
  <c r="C66" i="9"/>
  <c r="C60" i="9"/>
  <c r="C73" i="9"/>
  <c r="C71" i="9"/>
  <c r="C69" i="9"/>
  <c r="C67" i="9"/>
  <c r="C74" i="9"/>
  <c r="C68" i="9"/>
  <c r="C70" i="9"/>
  <c r="C72" i="9"/>
  <c r="E26" i="5"/>
  <c r="F26" i="5" s="1"/>
  <c r="E18" i="5"/>
  <c r="F18" i="5" s="1"/>
  <c r="H10" i="5"/>
  <c r="E30" i="5"/>
  <c r="E22" i="5"/>
  <c r="F22" i="5" s="1"/>
  <c r="E29" i="7"/>
  <c r="E25" i="7"/>
  <c r="E21" i="7"/>
  <c r="E17" i="7"/>
  <c r="H9" i="7"/>
  <c r="E59" i="9" l="1"/>
  <c r="F59" i="9" s="1"/>
  <c r="E27" i="9"/>
  <c r="F27" i="9" s="1"/>
  <c r="E51" i="9"/>
  <c r="F51" i="9" s="1"/>
  <c r="E75" i="9"/>
  <c r="E19" i="9"/>
  <c r="F19" i="9" s="1"/>
  <c r="E43" i="9"/>
  <c r="F43" i="9" s="1"/>
  <c r="E67" i="9"/>
  <c r="F67" i="9" s="1"/>
  <c r="C18" i="6"/>
  <c r="C15" i="6"/>
  <c r="F15" i="6" s="1"/>
  <c r="F16" i="8"/>
  <c r="G27" i="8" s="1"/>
  <c r="C16" i="6"/>
  <c r="F16" i="6" s="1"/>
  <c r="F45" i="9"/>
  <c r="F70" i="9"/>
  <c r="C10" i="6"/>
  <c r="F56" i="9"/>
  <c r="F62" i="9"/>
  <c r="F63" i="9"/>
  <c r="F15" i="7"/>
  <c r="F69" i="9"/>
  <c r="F71" i="9"/>
  <c r="F54" i="9"/>
  <c r="F21" i="9"/>
  <c r="F23" i="7"/>
  <c r="F30" i="9"/>
  <c r="F26" i="7"/>
  <c r="F24" i="7"/>
  <c r="F68" i="9"/>
  <c r="F53" i="9"/>
  <c r="F49" i="9"/>
  <c r="F55" i="9"/>
  <c r="F29" i="9"/>
  <c r="F27" i="6"/>
  <c r="F19" i="7"/>
  <c r="F28" i="7"/>
  <c r="F31" i="9"/>
  <c r="F21" i="7"/>
  <c r="F30" i="7"/>
  <c r="F33" i="9"/>
  <c r="F28" i="6"/>
  <c r="F48" i="9"/>
  <c r="F20" i="7"/>
  <c r="F22" i="9"/>
  <c r="F21" i="6"/>
  <c r="F27" i="7"/>
  <c r="F44" i="9"/>
  <c r="F66" i="9"/>
  <c r="F52" i="9"/>
  <c r="F50" i="9"/>
  <c r="F58" i="9"/>
  <c r="F64" i="9"/>
  <c r="F46" i="9"/>
  <c r="F25" i="7"/>
  <c r="F24" i="9"/>
  <c r="F19" i="6"/>
  <c r="F61" i="9"/>
  <c r="F20" i="9"/>
  <c r="F20" i="6"/>
  <c r="C9" i="6"/>
  <c r="C23" i="6"/>
  <c r="F23" i="6" s="1"/>
  <c r="C25" i="6"/>
  <c r="F25" i="6" s="1"/>
  <c r="C24" i="6"/>
  <c r="F24" i="6" s="1"/>
  <c r="C26" i="6"/>
  <c r="F72" i="9"/>
  <c r="F74" i="9"/>
  <c r="F65" i="9"/>
  <c r="F29" i="7"/>
  <c r="F47" i="9"/>
  <c r="F26" i="9"/>
  <c r="C8" i="6"/>
  <c r="C41" i="9"/>
  <c r="F41" i="9" s="1"/>
  <c r="C39" i="9"/>
  <c r="F39" i="9" s="1"/>
  <c r="C37" i="9"/>
  <c r="F37" i="9" s="1"/>
  <c r="C35" i="9"/>
  <c r="F35" i="9" s="1"/>
  <c r="C38" i="9"/>
  <c r="F38" i="9" s="1"/>
  <c r="C40" i="9"/>
  <c r="F40" i="9" s="1"/>
  <c r="C42" i="9"/>
  <c r="F42" i="9" s="1"/>
  <c r="C36" i="9"/>
  <c r="F36" i="9" s="1"/>
  <c r="F57" i="9"/>
  <c r="C81" i="9"/>
  <c r="F81" i="9" s="1"/>
  <c r="C79" i="9"/>
  <c r="F79" i="9" s="1"/>
  <c r="C77" i="9"/>
  <c r="F77" i="9" s="1"/>
  <c r="C75" i="9"/>
  <c r="C82" i="9"/>
  <c r="F82" i="9" s="1"/>
  <c r="C80" i="9"/>
  <c r="F80" i="9" s="1"/>
  <c r="C78" i="9"/>
  <c r="F78" i="9" s="1"/>
  <c r="C76" i="9"/>
  <c r="F76" i="9" s="1"/>
  <c r="F28" i="9"/>
  <c r="F34" i="9"/>
  <c r="F17" i="6"/>
  <c r="E30" i="6"/>
  <c r="F30" i="6" s="1"/>
  <c r="E18" i="6"/>
  <c r="E22" i="6"/>
  <c r="F22" i="6" s="1"/>
  <c r="H10" i="6"/>
  <c r="E26" i="6"/>
  <c r="F23" i="9"/>
  <c r="F18" i="7"/>
  <c r="F73" i="9"/>
  <c r="H7" i="6"/>
  <c r="F16" i="7"/>
  <c r="F32" i="9"/>
  <c r="C7" i="6"/>
  <c r="F25" i="9"/>
  <c r="F60" i="9"/>
  <c r="F22" i="7"/>
  <c r="F29" i="6"/>
  <c r="H8" i="6"/>
  <c r="F30" i="5"/>
  <c r="G30" i="5" s="1"/>
  <c r="F17" i="7"/>
  <c r="B35" i="5" l="1"/>
  <c r="B6" i="11" s="1"/>
  <c r="G22" i="8"/>
  <c r="G20" i="8"/>
  <c r="G21" i="8"/>
  <c r="F35" i="8"/>
  <c r="F24" i="11" s="1"/>
  <c r="B36" i="8"/>
  <c r="B25" i="11" s="1"/>
  <c r="G25" i="8"/>
  <c r="G15" i="8"/>
  <c r="G19" i="8"/>
  <c r="C36" i="8"/>
  <c r="C25" i="11" s="1"/>
  <c r="G24" i="8"/>
  <c r="G23" i="8"/>
  <c r="E37" i="8"/>
  <c r="E26" i="11" s="1"/>
  <c r="F75" i="9"/>
  <c r="G34" i="9" s="1"/>
  <c r="E35" i="8"/>
  <c r="E24" i="11" s="1"/>
  <c r="F36" i="8"/>
  <c r="F25" i="11" s="1"/>
  <c r="G29" i="8"/>
  <c r="F18" i="6"/>
  <c r="E36" i="8"/>
  <c r="E25" i="11" s="1"/>
  <c r="G30" i="8"/>
  <c r="D36" i="8"/>
  <c r="D25" i="11" s="1"/>
  <c r="G26" i="8"/>
  <c r="F37" i="8"/>
  <c r="F26" i="11" s="1"/>
  <c r="B37" i="8"/>
  <c r="B26" i="11" s="1"/>
  <c r="G18" i="8"/>
  <c r="C37" i="8"/>
  <c r="C26" i="11" s="1"/>
  <c r="G16" i="8"/>
  <c r="B35" i="8"/>
  <c r="B24" i="11" s="1"/>
  <c r="D37" i="8"/>
  <c r="D26" i="11" s="1"/>
  <c r="G28" i="8"/>
  <c r="D35" i="8"/>
  <c r="D24" i="11" s="1"/>
  <c r="C35" i="8"/>
  <c r="C24" i="11" s="1"/>
  <c r="G17" i="8"/>
  <c r="G22" i="5"/>
  <c r="G27" i="5"/>
  <c r="G19" i="5"/>
  <c r="G17" i="5"/>
  <c r="G16" i="5"/>
  <c r="F36" i="5"/>
  <c r="F7" i="11" s="1"/>
  <c r="D35" i="5"/>
  <c r="D6" i="11" s="1"/>
  <c r="E35" i="5"/>
  <c r="E6" i="11" s="1"/>
  <c r="G24" i="5"/>
  <c r="G15" i="5"/>
  <c r="B37" i="5"/>
  <c r="B8" i="11" s="1"/>
  <c r="F26" i="6"/>
  <c r="D36" i="5"/>
  <c r="D7" i="11" s="1"/>
  <c r="G28" i="5"/>
  <c r="C36" i="5"/>
  <c r="C7" i="11" s="1"/>
  <c r="E36" i="5"/>
  <c r="E7" i="11" s="1"/>
  <c r="F36" i="7"/>
  <c r="F19" i="11" s="1"/>
  <c r="G18" i="7"/>
  <c r="D37" i="5"/>
  <c r="D8" i="11" s="1"/>
  <c r="G24" i="7"/>
  <c r="G19" i="7"/>
  <c r="E37" i="5"/>
  <c r="E8" i="11" s="1"/>
  <c r="C35" i="5"/>
  <c r="C6" i="11" s="1"/>
  <c r="G28" i="7"/>
  <c r="G21" i="5"/>
  <c r="G16" i="7"/>
  <c r="G17" i="7"/>
  <c r="G26" i="7"/>
  <c r="E35" i="7"/>
  <c r="E18" i="11" s="1"/>
  <c r="G29" i="5"/>
  <c r="F35" i="5"/>
  <c r="F6" i="11" s="1"/>
  <c r="G25" i="5"/>
  <c r="B37" i="7"/>
  <c r="B20" i="11" s="1"/>
  <c r="G15" i="7"/>
  <c r="C37" i="7"/>
  <c r="C20" i="11" s="1"/>
  <c r="D37" i="7"/>
  <c r="D20" i="11" s="1"/>
  <c r="C36" i="7"/>
  <c r="C19" i="11" s="1"/>
  <c r="E37" i="7"/>
  <c r="E20" i="11" s="1"/>
  <c r="E36" i="7"/>
  <c r="E19" i="11" s="1"/>
  <c r="G21" i="7"/>
  <c r="B36" i="7"/>
  <c r="B19" i="11" s="1"/>
  <c r="G22" i="7"/>
  <c r="C37" i="5"/>
  <c r="C8" i="11" s="1"/>
  <c r="B36" i="5"/>
  <c r="B7" i="11" s="1"/>
  <c r="G30" i="7"/>
  <c r="G23" i="7"/>
  <c r="F37" i="7"/>
  <c r="F20" i="11" s="1"/>
  <c r="B35" i="7"/>
  <c r="B18" i="11" s="1"/>
  <c r="G20" i="7"/>
  <c r="G29" i="7"/>
  <c r="G25" i="7"/>
  <c r="C35" i="7"/>
  <c r="C18" i="11" s="1"/>
  <c r="F37" i="5"/>
  <c r="F8" i="11" s="1"/>
  <c r="G20" i="5"/>
  <c r="D35" i="7"/>
  <c r="D18" i="11" s="1"/>
  <c r="G23" i="5"/>
  <c r="F35" i="7"/>
  <c r="F18" i="11" s="1"/>
  <c r="G18" i="5"/>
  <c r="D36" i="7"/>
  <c r="D19" i="11" s="1"/>
  <c r="G27" i="7"/>
  <c r="G26" i="5"/>
  <c r="G51" i="9" l="1"/>
  <c r="G55" i="9"/>
  <c r="G82" i="9"/>
  <c r="G27" i="9"/>
  <c r="F89" i="9"/>
  <c r="F32" i="11" s="1"/>
  <c r="F88" i="9"/>
  <c r="F31" i="11" s="1"/>
  <c r="G50" i="9"/>
  <c r="G81" i="9"/>
  <c r="G52" i="9"/>
  <c r="G45" i="9"/>
  <c r="G44" i="9"/>
  <c r="G77" i="9"/>
  <c r="G42" i="9"/>
  <c r="G47" i="9"/>
  <c r="G61" i="9"/>
  <c r="G72" i="9"/>
  <c r="B88" i="9"/>
  <c r="B31" i="11" s="1"/>
  <c r="G22" i="9"/>
  <c r="G53" i="9"/>
  <c r="G24" i="9"/>
  <c r="G56" i="9"/>
  <c r="G65" i="9"/>
  <c r="G21" i="9"/>
  <c r="G37" i="9"/>
  <c r="E87" i="9"/>
  <c r="E30" i="11" s="1"/>
  <c r="D87" i="9"/>
  <c r="D30" i="11" s="1"/>
  <c r="G76" i="9"/>
  <c r="D89" i="9"/>
  <c r="D32" i="11" s="1"/>
  <c r="G78" i="9"/>
  <c r="G66" i="9"/>
  <c r="F87" i="9"/>
  <c r="F30" i="11" s="1"/>
  <c r="C87" i="9"/>
  <c r="C30" i="11" s="1"/>
  <c r="G29" i="9"/>
  <c r="G57" i="9"/>
  <c r="G19" i="9"/>
  <c r="E89" i="9"/>
  <c r="E32" i="11" s="1"/>
  <c r="G30" i="9"/>
  <c r="B89" i="9"/>
  <c r="B32" i="11" s="1"/>
  <c r="G25" i="9"/>
  <c r="G20" i="9"/>
  <c r="G70" i="9"/>
  <c r="G60" i="9"/>
  <c r="G59" i="9"/>
  <c r="G63" i="9"/>
  <c r="G68" i="9"/>
  <c r="B87" i="9"/>
  <c r="B30" i="11" s="1"/>
  <c r="G41" i="9"/>
  <c r="G31" i="9"/>
  <c r="G38" i="9"/>
  <c r="G64" i="9"/>
  <c r="G36" i="9"/>
  <c r="G71" i="9"/>
  <c r="G33" i="9"/>
  <c r="E35" i="6"/>
  <c r="E12" i="11" s="1"/>
  <c r="D37" i="6"/>
  <c r="D14" i="11" s="1"/>
  <c r="G35" i="9"/>
  <c r="G43" i="9"/>
  <c r="G32" i="9"/>
  <c r="G75" i="9"/>
  <c r="G46" i="9"/>
  <c r="G23" i="9"/>
  <c r="G28" i="9"/>
  <c r="G40" i="9"/>
  <c r="G74" i="9"/>
  <c r="C88" i="9"/>
  <c r="C31" i="11" s="1"/>
  <c r="G48" i="9"/>
  <c r="G39" i="9"/>
  <c r="G49" i="9"/>
  <c r="G79" i="9"/>
  <c r="G58" i="9"/>
  <c r="G69" i="9"/>
  <c r="G73" i="9"/>
  <c r="D88" i="9"/>
  <c r="D31" i="11" s="1"/>
  <c r="E88" i="9"/>
  <c r="E31" i="11" s="1"/>
  <c r="G62" i="9"/>
  <c r="G54" i="9"/>
  <c r="G80" i="9"/>
  <c r="G26" i="9"/>
  <c r="C89" i="9"/>
  <c r="C32" i="11" s="1"/>
  <c r="G67" i="9"/>
  <c r="G16" i="6"/>
  <c r="G25" i="6"/>
  <c r="G18" i="6"/>
  <c r="G17" i="6"/>
  <c r="C35" i="6"/>
  <c r="C12" i="11" s="1"/>
  <c r="G21" i="6"/>
  <c r="D35" i="6"/>
  <c r="D12" i="11" s="1"/>
  <c r="G20" i="6"/>
  <c r="G27" i="6"/>
  <c r="F35" i="6"/>
  <c r="F12" i="11" s="1"/>
  <c r="G29" i="6"/>
  <c r="G19" i="6"/>
  <c r="D36" i="6"/>
  <c r="D13" i="11" s="1"/>
  <c r="G30" i="6"/>
  <c r="E36" i="6"/>
  <c r="E13" i="11" s="1"/>
  <c r="G15" i="6"/>
  <c r="C37" i="6"/>
  <c r="C14" i="11" s="1"/>
  <c r="F37" i="6"/>
  <c r="F14" i="11" s="1"/>
  <c r="G22" i="6"/>
  <c r="B37" i="6"/>
  <c r="B14" i="11" s="1"/>
  <c r="B35" i="6"/>
  <c r="B12" i="11" s="1"/>
  <c r="E37" i="6"/>
  <c r="E14" i="11" s="1"/>
  <c r="G28" i="6"/>
  <c r="G24" i="6"/>
  <c r="B36" i="6"/>
  <c r="B13" i="11" s="1"/>
  <c r="G23" i="6"/>
  <c r="C36" i="6"/>
  <c r="C13" i="11" s="1"/>
  <c r="G26" i="6"/>
  <c r="F36" i="6"/>
  <c r="F13" i="11" s="1"/>
</calcChain>
</file>

<file path=xl/sharedStrings.xml><?xml version="1.0" encoding="utf-8"?>
<sst xmlns="http://schemas.openxmlformats.org/spreadsheetml/2006/main" count="1325" uniqueCount="455">
  <si>
    <t>FIFA 2026 SCHEDULE</t>
  </si>
  <si>
    <t>Enter WINNER after each match. POINTS table auto-calculates. Green = Dallas.</t>
  </si>
  <si>
    <t>Match</t>
  </si>
  <si>
    <t>Stage</t>
  </si>
  <si>
    <t>Date</t>
  </si>
  <si>
    <t>Team 1</t>
  </si>
  <si>
    <t>Team 2</t>
  </si>
  <si>
    <t>Venue</t>
  </si>
  <si>
    <t>WINNER</t>
  </si>
  <si>
    <t>M1</t>
  </si>
  <si>
    <t>Group A</t>
  </si>
  <si>
    <t>Jun 11</t>
  </si>
  <si>
    <t>Mexico</t>
  </si>
  <si>
    <t>South Africa</t>
  </si>
  <si>
    <t>Estadio Azteca, Mexico City</t>
  </si>
  <si>
    <t>M2</t>
  </si>
  <si>
    <t>South Korea</t>
  </si>
  <si>
    <t>UEFA D</t>
  </si>
  <si>
    <t>Estadio Akron, Zap</t>
  </si>
  <si>
    <t>M3</t>
  </si>
  <si>
    <t>Group B</t>
  </si>
  <si>
    <t>Jun 12</t>
  </si>
  <si>
    <t>Canada</t>
  </si>
  <si>
    <t>UEFA A</t>
  </si>
  <si>
    <t>BMO Field, Toronto</t>
  </si>
  <si>
    <t>M4</t>
  </si>
  <si>
    <t>Group D</t>
  </si>
  <si>
    <t>United States</t>
  </si>
  <si>
    <t>Paraguay</t>
  </si>
  <si>
    <t>SoFi Stadium, Inglewood</t>
  </si>
  <si>
    <t>M8</t>
  </si>
  <si>
    <t>Jun 13</t>
  </si>
  <si>
    <t>Qatar</t>
  </si>
  <si>
    <t>Switzerland</t>
  </si>
  <si>
    <t>Levi's Stadium, Santa Clara</t>
  </si>
  <si>
    <t>M7</t>
  </si>
  <si>
    <t>Group C</t>
  </si>
  <si>
    <t>Brazil</t>
  </si>
  <si>
    <t>Morocco</t>
  </si>
  <si>
    <t>MetLife Stadium, East Rutherford</t>
  </si>
  <si>
    <t>M5</t>
  </si>
  <si>
    <t>Haiti</t>
  </si>
  <si>
    <t>Scotland</t>
  </si>
  <si>
    <t>Gillette Stadium, Foxborough</t>
  </si>
  <si>
    <t>M6</t>
  </si>
  <si>
    <t>Australia</t>
  </si>
  <si>
    <t>UEFA C</t>
  </si>
  <si>
    <t>BC Place, Vancouver</t>
  </si>
  <si>
    <t>M10</t>
  </si>
  <si>
    <t>Group E</t>
  </si>
  <si>
    <t>Jun 14</t>
  </si>
  <si>
    <t>Germany</t>
  </si>
  <si>
    <t>Curacao</t>
  </si>
  <si>
    <t>NRG Stadium, Houston</t>
  </si>
  <si>
    <t>M11</t>
  </si>
  <si>
    <t>Group F</t>
  </si>
  <si>
    <t>Netherlands</t>
  </si>
  <si>
    <t>Japan</t>
  </si>
  <si>
    <t>AT&amp;T Stadium, Arlington</t>
  </si>
  <si>
    <t>M9</t>
  </si>
  <si>
    <t>Ivory Coast</t>
  </si>
  <si>
    <t>Ecuador</t>
  </si>
  <si>
    <t>Lincoln Financial Field, Philadelphia</t>
  </si>
  <si>
    <t>M12</t>
  </si>
  <si>
    <t>UEFA B</t>
  </si>
  <si>
    <t>Tunisia</t>
  </si>
  <si>
    <t>Estadio BBVA, Guadalupe</t>
  </si>
  <si>
    <t>M14</t>
  </si>
  <si>
    <t>Group H</t>
  </si>
  <si>
    <t>Jun 15</t>
  </si>
  <si>
    <t>Spain</t>
  </si>
  <si>
    <t>Cape Verde</t>
  </si>
  <si>
    <t>Mercedes-Benz Stadium, Atlanta</t>
  </si>
  <si>
    <t>M16</t>
  </si>
  <si>
    <t>Group G</t>
  </si>
  <si>
    <t>Belgium</t>
  </si>
  <si>
    <t>Egypt</t>
  </si>
  <si>
    <t>Lumen Field, Seattle</t>
  </si>
  <si>
    <t>M13</t>
  </si>
  <si>
    <t>Saudi Arabia</t>
  </si>
  <si>
    <t>Uruguay</t>
  </si>
  <si>
    <t>Hard Rock Stadium, Miami Gardens</t>
  </si>
  <si>
    <t>M15</t>
  </si>
  <si>
    <t>Iran</t>
  </si>
  <si>
    <t>New Zealand</t>
  </si>
  <si>
    <t>M17</t>
  </si>
  <si>
    <t>Group I</t>
  </si>
  <si>
    <t>Jun 16</t>
  </si>
  <si>
    <t>France</t>
  </si>
  <si>
    <t>Senegal</t>
  </si>
  <si>
    <t>M18</t>
  </si>
  <si>
    <t>FIFA 2</t>
  </si>
  <si>
    <t>Norway</t>
  </si>
  <si>
    <t xml:space="preserve">Gillette Stadium, </t>
  </si>
  <si>
    <t>M19</t>
  </si>
  <si>
    <t>Group J</t>
  </si>
  <si>
    <t>Argentina</t>
  </si>
  <si>
    <t>Algeria</t>
  </si>
  <si>
    <t>Arrowhead Stadium,</t>
  </si>
  <si>
    <t>M20</t>
  </si>
  <si>
    <t>Austria</t>
  </si>
  <si>
    <t>Jordan</t>
  </si>
  <si>
    <t>M23</t>
  </si>
  <si>
    <t>Group K</t>
  </si>
  <si>
    <t>Jun 17</t>
  </si>
  <si>
    <t>Portugal</t>
  </si>
  <si>
    <t>FIFA 1</t>
  </si>
  <si>
    <t>M21</t>
  </si>
  <si>
    <t>Group L</t>
  </si>
  <si>
    <t>England</t>
  </si>
  <si>
    <t>Croatia</t>
  </si>
  <si>
    <t>M22</t>
  </si>
  <si>
    <t>Ghana</t>
  </si>
  <si>
    <t>Panama</t>
  </si>
  <si>
    <t>M24</t>
  </si>
  <si>
    <t>Uzbekistan</t>
  </si>
  <si>
    <t>Colombia</t>
  </si>
  <si>
    <t>M25</t>
  </si>
  <si>
    <t>Jun 18</t>
  </si>
  <si>
    <t>Mercedes-Benz Stad</t>
  </si>
  <si>
    <t>M26</t>
  </si>
  <si>
    <t>M27</t>
  </si>
  <si>
    <t>BC Place, Vancouve</t>
  </si>
  <si>
    <t>M28</t>
  </si>
  <si>
    <t>M32</t>
  </si>
  <si>
    <t>Jun 19</t>
  </si>
  <si>
    <t>M30</t>
  </si>
  <si>
    <t>M29</t>
  </si>
  <si>
    <t xml:space="preserve">Lincoln Financial </t>
  </si>
  <si>
    <t>M31</t>
  </si>
  <si>
    <t>M35</t>
  </si>
  <si>
    <t>Jun 20</t>
  </si>
  <si>
    <t>M33</t>
  </si>
  <si>
    <t>M34</t>
  </si>
  <si>
    <t>M36</t>
  </si>
  <si>
    <t>Estadio BBVA, Guad</t>
  </si>
  <si>
    <t>M38</t>
  </si>
  <si>
    <t>Jun 21</t>
  </si>
  <si>
    <t>M39</t>
  </si>
  <si>
    <t>M37</t>
  </si>
  <si>
    <t>Hard Rock Stadium,</t>
  </si>
  <si>
    <t>M40</t>
  </si>
  <si>
    <t>M43</t>
  </si>
  <si>
    <t>Jun 22</t>
  </si>
  <si>
    <t>M42</t>
  </si>
  <si>
    <t>M41</t>
  </si>
  <si>
    <t>M44</t>
  </si>
  <si>
    <t>M47</t>
  </si>
  <si>
    <t>Jun 23</t>
  </si>
  <si>
    <t>M45</t>
  </si>
  <si>
    <t>M46</t>
  </si>
  <si>
    <t>M48</t>
  </si>
  <si>
    <t>M51</t>
  </si>
  <si>
    <t>Jun 24</t>
  </si>
  <si>
    <t>M52</t>
  </si>
  <si>
    <t>M49</t>
  </si>
  <si>
    <t>M50</t>
  </si>
  <si>
    <t>M53</t>
  </si>
  <si>
    <t>M54</t>
  </si>
  <si>
    <t>M55</t>
  </si>
  <si>
    <t>Jun 25</t>
  </si>
  <si>
    <t>M56</t>
  </si>
  <si>
    <t>M57</t>
  </si>
  <si>
    <t>M58</t>
  </si>
  <si>
    <t>M59</t>
  </si>
  <si>
    <t>M60</t>
  </si>
  <si>
    <t>M61</t>
  </si>
  <si>
    <t>Jun 26</t>
  </si>
  <si>
    <t>M62</t>
  </si>
  <si>
    <t>M65</t>
  </si>
  <si>
    <t>M66</t>
  </si>
  <si>
    <t>M63</t>
  </si>
  <si>
    <t>M64</t>
  </si>
  <si>
    <t>M67</t>
  </si>
  <si>
    <t>Jun 27</t>
  </si>
  <si>
    <t>M68</t>
  </si>
  <si>
    <t>M71</t>
  </si>
  <si>
    <t>M72</t>
  </si>
  <si>
    <t>M69</t>
  </si>
  <si>
    <t>M70</t>
  </si>
  <si>
    <t>M73</t>
  </si>
  <si>
    <t>Round of 32</t>
  </si>
  <si>
    <t>Jun 28</t>
  </si>
  <si>
    <t>2A</t>
  </si>
  <si>
    <t>2B</t>
  </si>
  <si>
    <t>M76</t>
  </si>
  <si>
    <t>Jun 29</t>
  </si>
  <si>
    <t>1C</t>
  </si>
  <si>
    <t>2F</t>
  </si>
  <si>
    <t>M74</t>
  </si>
  <si>
    <t>1E</t>
  </si>
  <si>
    <t>3ABCDF</t>
  </si>
  <si>
    <t>M75</t>
  </si>
  <si>
    <t>1F</t>
  </si>
  <si>
    <t>2C</t>
  </si>
  <si>
    <t>M78</t>
  </si>
  <si>
    <t>Jun 30</t>
  </si>
  <si>
    <t>2E</t>
  </si>
  <si>
    <t>2I</t>
  </si>
  <si>
    <t>M77</t>
  </si>
  <si>
    <t>1I</t>
  </si>
  <si>
    <t>3CDFGH</t>
  </si>
  <si>
    <t>M79</t>
  </si>
  <si>
    <t>1A</t>
  </si>
  <si>
    <t>3CEFHI</t>
  </si>
  <si>
    <t>M80</t>
  </si>
  <si>
    <t>Jul 01</t>
  </si>
  <si>
    <t>1L</t>
  </si>
  <si>
    <t>3EHIJK</t>
  </si>
  <si>
    <t>M82</t>
  </si>
  <si>
    <t>1G</t>
  </si>
  <si>
    <t>3AEHIJ</t>
  </si>
  <si>
    <t>M81</t>
  </si>
  <si>
    <t>1D</t>
  </si>
  <si>
    <t>3BEFIJ</t>
  </si>
  <si>
    <t>M84</t>
  </si>
  <si>
    <t>Jul 02</t>
  </si>
  <si>
    <t>1H</t>
  </si>
  <si>
    <t>2J</t>
  </si>
  <si>
    <t>M83</t>
  </si>
  <si>
    <t>2K</t>
  </si>
  <si>
    <t>2L</t>
  </si>
  <si>
    <t>M85</t>
  </si>
  <si>
    <t>3EFGIJ</t>
  </si>
  <si>
    <t>M88</t>
  </si>
  <si>
    <t>Jul 03</t>
  </si>
  <si>
    <t>2D</t>
  </si>
  <si>
    <t>2G</t>
  </si>
  <si>
    <t>M86</t>
  </si>
  <si>
    <t>1J</t>
  </si>
  <si>
    <t>2H</t>
  </si>
  <si>
    <t>M87</t>
  </si>
  <si>
    <t>1K</t>
  </si>
  <si>
    <t>3DEIJL</t>
  </si>
  <si>
    <t>M90</t>
  </si>
  <si>
    <t>Round of 16</t>
  </si>
  <si>
    <t>Jul 04</t>
  </si>
  <si>
    <t>W73</t>
  </si>
  <si>
    <t>W75</t>
  </si>
  <si>
    <t>M89</t>
  </si>
  <si>
    <t>W74</t>
  </si>
  <si>
    <t>W77</t>
  </si>
  <si>
    <t>M91</t>
  </si>
  <si>
    <t>Jul 05</t>
  </si>
  <si>
    <t>W76</t>
  </si>
  <si>
    <t>W78</t>
  </si>
  <si>
    <t>M92</t>
  </si>
  <si>
    <t>W79</t>
  </si>
  <si>
    <t>W80</t>
  </si>
  <si>
    <t>M93</t>
  </si>
  <si>
    <t>Jul 06</t>
  </si>
  <si>
    <t>W83</t>
  </si>
  <si>
    <t>W84</t>
  </si>
  <si>
    <t>M94</t>
  </si>
  <si>
    <t>W81</t>
  </si>
  <si>
    <t>W82</t>
  </si>
  <si>
    <t>M95</t>
  </si>
  <si>
    <t>Jul 07</t>
  </si>
  <si>
    <t>W86</t>
  </si>
  <si>
    <t>W88</t>
  </si>
  <si>
    <t>M96</t>
  </si>
  <si>
    <t>W85</t>
  </si>
  <si>
    <t>W87</t>
  </si>
  <si>
    <t>M97</t>
  </si>
  <si>
    <t>Quarterfinals</t>
  </si>
  <si>
    <t>Jul 09</t>
  </si>
  <si>
    <t>W89</t>
  </si>
  <si>
    <t>W90</t>
  </si>
  <si>
    <t>M98</t>
  </si>
  <si>
    <t>Jul 10</t>
  </si>
  <si>
    <t>W93</t>
  </si>
  <si>
    <t>W94</t>
  </si>
  <si>
    <t>M99</t>
  </si>
  <si>
    <t>Jul 11</t>
  </si>
  <si>
    <t>W91</t>
  </si>
  <si>
    <t>W92</t>
  </si>
  <si>
    <t>M100</t>
  </si>
  <si>
    <t>W95</t>
  </si>
  <si>
    <t>W96</t>
  </si>
  <si>
    <t>M101</t>
  </si>
  <si>
    <t>Semifinals</t>
  </si>
  <si>
    <t>Jul 14</t>
  </si>
  <si>
    <t>W97</t>
  </si>
  <si>
    <t>W98</t>
  </si>
  <si>
    <t>M102</t>
  </si>
  <si>
    <t>Jul 15</t>
  </si>
  <si>
    <t>W99</t>
  </si>
  <si>
    <t>W100</t>
  </si>
  <si>
    <t>M103</t>
  </si>
  <si>
    <t>Third Place</t>
  </si>
  <si>
    <t>Jul 18</t>
  </si>
  <si>
    <t>L101</t>
  </si>
  <si>
    <t>L102</t>
  </si>
  <si>
    <t>M104</t>
  </si>
  <si>
    <t>Final</t>
  </si>
  <si>
    <t>Jul 19</t>
  </si>
  <si>
    <t>W191</t>
  </si>
  <si>
    <t>W102</t>
  </si>
  <si>
    <t>DALLAS COPART CLIENT ENTERTAINMENT - PROBABILITY ANALYSIS</t>
  </si>
  <si>
    <t>Note - Dynamically showing what 2E could be with probability/chance -- NEXT STEPS</t>
  </si>
  <si>
    <t>RECOMMENDED CLIENT INVITE STRATEGY</t>
  </si>
  <si>
    <t>Priority</t>
  </si>
  <si>
    <t>Teams</t>
  </si>
  <si>
    <t>Clients</t>
  </si>
  <si>
    <t>Notes</t>
  </si>
  <si>
    <t>P0 - BOOK NOW</t>
  </si>
  <si>
    <t>M11 (Group F)</t>
  </si>
  <si>
    <t>Netherlands vs Japan</t>
  </si>
  <si>
    <t>M21 (Group L)</t>
  </si>
  <si>
    <t>England vs Croatia</t>
  </si>
  <si>
    <t>Premium European matchup (2018 semifinals)</t>
  </si>
  <si>
    <t>M43 (Group J)</t>
  </si>
  <si>
    <t>Argentina vs Austria</t>
  </si>
  <si>
    <t>Defending champs</t>
  </si>
  <si>
    <t>M70 (Group J)</t>
  </si>
  <si>
    <t>Argentina vs Jordan</t>
  </si>
  <si>
    <t>P1 - MONITOR</t>
  </si>
  <si>
    <t>M78 (R32)</t>
  </si>
  <si>
    <t>2E vs 2I</t>
  </si>
  <si>
    <t>Germany/France possible</t>
  </si>
  <si>
    <t>Jul 3</t>
  </si>
  <si>
    <t>M88 (R32)</t>
  </si>
  <si>
    <t>2D vs 2G</t>
  </si>
  <si>
    <t>USA/Belgium possible</t>
  </si>
  <si>
    <t>P2 - TENTATIVE</t>
  </si>
  <si>
    <t>Jul 6</t>
  </si>
  <si>
    <t>M93 (R16)</t>
  </si>
  <si>
    <t>W83 vs W84</t>
  </si>
  <si>
    <t xml:space="preserve">Top teams </t>
  </si>
  <si>
    <t>M101 (SF)</t>
  </si>
  <si>
    <t>W97 vs W98</t>
  </si>
  <si>
    <t>SEMIFINAL - Premium</t>
  </si>
  <si>
    <t>DALLAS MATCH PREDICTIONS</t>
  </si>
  <si>
    <t>Multi-layer market data | Corrected P(2nd) with 67% 3rd-place factor | Dynamic updates</t>
  </si>
  <si>
    <t>M78 - Jun 30 [DALLAS R32]: 2E vs 2I</t>
  </si>
  <si>
    <t>#</t>
  </si>
  <si>
    <t>P%</t>
  </si>
  <si>
    <t>Combined</t>
  </si>
  <si>
    <t>M83 - Jul 4 [Toronto]: 2K vs 2L → feeds M93</t>
  </si>
  <si>
    <t>M84 - Jul 4 [LA]: 1H vs 2J → feeds M93</t>
  </si>
  <si>
    <t>M88 - Jul 3 [DALLAS R32]: 2D vs 2G</t>
  </si>
  <si>
    <t>M93 - Jul 6 [DALLAS R16]: W83 vs W84</t>
  </si>
  <si>
    <t>M101 - Jul 14 [DALLAS SF]: Using Final Qualifier Odds</t>
  </si>
  <si>
    <t>KEY FORMULAS</t>
  </si>
  <si>
    <t>P(2nd) = α × (Q - W) / (0.67 + 0.33α)  where α = W/(W + avg_others)</t>
  </si>
  <si>
    <t>Q = W + P(2nd) + 0.67×P(3rd)  →  Accounts for 8/12 = 67% of 3rd place teams qualifying</t>
  </si>
  <si>
    <t>P(Reach SF) = 2 × P(Final)  →  Assumes P(Win SF) ≈ 50%</t>
  </si>
  <si>
    <t>HOW TO UPDATE</t>
  </si>
  <si>
    <t>1. ODDS: Update yellow cells with latest Polymarket/Kalshi odds</t>
  </si>
  <si>
    <t>2. SCHEDULE: Enter WINNER after each match → POINTS auto-calculates</t>
  </si>
  <si>
    <t>3. Match sheets: Once M83/M84 complete, enter winner in B3 → M93 updates to 100%/0%</t>
  </si>
  <si>
    <t>4. CALC: Position confirms automatically when all 3 group matches played</t>
  </si>
  <si>
    <t>PREDICTION MARKET ODDS</t>
  </si>
  <si>
    <t>Yellow cells = inputs from Polymarket/Kalshi</t>
  </si>
  <si>
    <t>GROUP WINNER ODDS (P(1st))</t>
  </si>
  <si>
    <t>Group</t>
  </si>
  <si>
    <t>Team</t>
  </si>
  <si>
    <t>Yes Prices</t>
  </si>
  <si>
    <t>Win %</t>
  </si>
  <si>
    <t>D</t>
  </si>
  <si>
    <t>TBD_C</t>
  </si>
  <si>
    <t>E</t>
  </si>
  <si>
    <t>G</t>
  </si>
  <si>
    <t>H</t>
  </si>
  <si>
    <t>I</t>
  </si>
  <si>
    <t>TBD_I4</t>
  </si>
  <si>
    <t>J</t>
  </si>
  <si>
    <t>K</t>
  </si>
  <si>
    <t>TBD_K4</t>
  </si>
  <si>
    <t>L</t>
  </si>
  <si>
    <t>GROUP QUALIFIER ODDS (P(1st or 2nd or 3rd-qualified - if in top 8))</t>
  </si>
  <si>
    <t>Qualify %</t>
  </si>
  <si>
    <t>KNOCKOUT MATCH ODDS</t>
  </si>
  <si>
    <t>Side 1</t>
  </si>
  <si>
    <t>Side 2</t>
  </si>
  <si>
    <t>2K side</t>
  </si>
  <si>
    <t>2L side</t>
  </si>
  <si>
    <t>1H side</t>
  </si>
  <si>
    <t>2J side</t>
  </si>
  <si>
    <t>FINAL QUALIFIER ODDS (P(Reach Final))</t>
  </si>
  <si>
    <t>P(Final) %</t>
  </si>
  <si>
    <t>https://defirate.com/prediction-markets/world-cup-odds/</t>
  </si>
  <si>
    <t>GROUP STANDINGS (Auto-calculated from SCHEDULE)</t>
  </si>
  <si>
    <t>W=3pts, D=1pt, L=0 pts. Position = RANK by points.</t>
  </si>
  <si>
    <t>GROUP D</t>
  </si>
  <si>
    <t>Played</t>
  </si>
  <si>
    <t>W</t>
  </si>
  <si>
    <t>GD</t>
  </si>
  <si>
    <t>Pts</t>
  </si>
  <si>
    <t>Pos</t>
  </si>
  <si>
    <t>Confirmed</t>
  </si>
  <si>
    <t>NEXT STEPS - Using GD</t>
  </si>
  <si>
    <t>GROUP E</t>
  </si>
  <si>
    <t>GROUP G</t>
  </si>
  <si>
    <t>GROUP H</t>
  </si>
  <si>
    <t>GROUP I</t>
  </si>
  <si>
    <t>GROUP J</t>
  </si>
  <si>
    <t>GROUP K</t>
  </si>
  <si>
    <t>GROUP L</t>
  </si>
  <si>
    <t>POSITION PROBABILITY CALCULATOR</t>
  </si>
  <si>
    <t>Q = W + P(2nd) + 0.67×P(3rd) → Corrected for 3rd place qualifiers (8/12 = 67%)</t>
  </si>
  <si>
    <t>α = strength factor. Strong teams: α→1 (Q-W is mostly P(2nd)). Weak teams: α→0 (Q-W is mostly P(3rd))</t>
  </si>
  <si>
    <t>Grp</t>
  </si>
  <si>
    <t>W%</t>
  </si>
  <si>
    <t>Q%</t>
  </si>
  <si>
    <t>α (strength)</t>
  </si>
  <si>
    <t>P(2nd)+0.67P(3rd)</t>
  </si>
  <si>
    <t>P(2nd) Calc</t>
  </si>
  <si>
    <t>Pts Pos</t>
  </si>
  <si>
    <t>Final P(1st)</t>
  </si>
  <si>
    <t>Final P(2nd)</t>
  </si>
  <si>
    <t>Source</t>
  </si>
  <si>
    <t>M78 - DALLAS R32 | Jun 30</t>
  </si>
  <si>
    <t>WINNER:</t>
  </si>
  <si>
    <t>GROUP E - 2nd Place Candidates</t>
  </si>
  <si>
    <t>GROUP I - 2nd Place Candidates</t>
  </si>
  <si>
    <t>P(2nd)</t>
  </si>
  <si>
    <t>Rank</t>
  </si>
  <si>
    <t>ALL 16 MATCHUP COMBINATIONS</t>
  </si>
  <si>
    <t>TOP 3 MOST LIKELY</t>
  </si>
  <si>
    <t>M83 - Toronto R32 (feeds M93) | Jul 4</t>
  </si>
  <si>
    <t>2K vs 2L</t>
  </si>
  <si>
    <t>GROUP K - 2nd Place Candidates</t>
  </si>
  <si>
    <t>GROUP L - 2nd Place Candidates</t>
  </si>
  <si>
    <t>M84 - LA R32 (feeds M93) | Jul 4</t>
  </si>
  <si>
    <t>1H vs 2J</t>
  </si>
  <si>
    <t>GROUP H - 1st Place Candidates</t>
  </si>
  <si>
    <t>GROUP J - 2nd Place Candidates</t>
  </si>
  <si>
    <t>P(1st)</t>
  </si>
  <si>
    <t>M88 - DALLAS R32 | Jul 3</t>
  </si>
  <si>
    <t>GROUP D - 2nd Place Candidates</t>
  </si>
  <si>
    <t>GROUP G - 2nd Place Candidates</t>
  </si>
  <si>
    <t>M93 - DALLAS R16 | Jul 6</t>
  </si>
  <si>
    <t>W83 vs W84 | Uses knockout odds + IF statements for confirmed winners</t>
  </si>
  <si>
    <t>W83 CANDIDATES (2K vs 2L)</t>
  </si>
  <si>
    <t>W84 CANDIDATES (1H vs 2J)</t>
  </si>
  <si>
    <t>P(W83)</t>
  </si>
  <si>
    <t>P(Pos)</t>
  </si>
  <si>
    <t>P(W84)</t>
  </si>
  <si>
    <t>ALL 64 MATCHUP COMBINATIONS</t>
  </si>
  <si>
    <t>M101 - DALLAS SEMIFINAL | Jul 14</t>
  </si>
  <si>
    <t>P(Reach SF) = 2 × P(Final) from market | Logic: P(Win SF) ≈ 50%</t>
  </si>
  <si>
    <t>SEMIFINAL CANDIDATES (M101 bracket side)</t>
  </si>
  <si>
    <t>P(Reach SF)</t>
  </si>
  <si>
    <t>Path</t>
  </si>
  <si>
    <t>1J→R32→R16→QF→M101</t>
  </si>
  <si>
    <t>1H→M84→M93→QF→M101</t>
  </si>
  <si>
    <t>2L→M83→M93→QF→M101</t>
  </si>
  <si>
    <t>1K→R32→R16→QF→M101</t>
  </si>
  <si>
    <t>NEXT STEPS: more dynamic</t>
  </si>
  <si>
    <t>2K→M83→M93→QF→M101</t>
  </si>
  <si>
    <t>2H→R32→R16→QF→M101</t>
  </si>
  <si>
    <t>2J→M84→M93→QF→M101</t>
  </si>
  <si>
    <t>TOP 3 SF MATCHUPS</t>
  </si>
  <si>
    <t>P(SF)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</si>
</sst>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</numFmts>
  <fonts count="2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Cambria"/>
      <family val="1"/>
    </font>
    <font>
      <i/>
      <sz val="9"/>
      <name val="Cambria"/>
      <family val="1"/>
    </font>
    <font>
      <b/>
      <sz val="10"/>
      <name val="Cambria"/>
      <family val="1"/>
    </font>
    <font>
      <b/>
      <sz val="10"/>
      <color rgb="FFFFFFFF"/>
      <name val="Cambria"/>
      <family val="1"/>
    </font>
    <font>
      <b/>
      <sz val="11"/>
      <color rgb="FF0000FF"/>
      <name val="Cambria"/>
      <family val="1"/>
    </font>
    <font>
      <sz val="9"/>
      <name val="Cambria"/>
      <family val="1"/>
    </font>
    <font>
      <i/>
      <sz val="9"/>
      <color rgb="FF006400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sz val="9"/>
      <name val="Cambria"/>
      <family val="1"/>
    </font>
    <font>
      <b/>
      <sz val="16"/>
      <color rgb="FFFFFFFF"/>
      <name val="Cambria"/>
      <family val="1"/>
    </font>
    <font>
      <sz val="9"/>
      <color rgb="FF006400"/>
      <name val="Cambria"/>
      <family val="1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mbria"/>
      <family val="1"/>
    </font>
    <font>
      <b/>
      <sz val="16"/>
      <color rgb="FFFFFFFF"/>
      <name val="Calibri"/>
      <family val="2"/>
      <scheme val="minor"/>
    </font>
    <font>
      <sz val="11"/>
      <color theme="0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BBDEFB"/>
        <bgColor rgb="FFC8E6C9"/>
      </patternFill>
    </fill>
    <fill>
      <patternFill patternType="solid">
        <fgColor rgb="FFFFF9C4"/>
        <bgColor rgb="FFFFFF99"/>
      </patternFill>
    </fill>
    <fill>
      <patternFill patternType="solid">
        <fgColor rgb="FFFFE0B2"/>
        <bgColor rgb="FFFFF9C4"/>
      </patternFill>
    </fill>
    <fill>
      <patternFill patternType="solid">
        <fgColor rgb="FFE1BEE7"/>
        <bgColor rgb="FFCCCCCC"/>
      </patternFill>
    </fill>
    <fill>
      <patternFill patternType="solid">
        <fgColor rgb="FFE53935"/>
        <bgColor rgb="FF993366"/>
      </patternFill>
    </fill>
    <fill>
      <patternFill patternType="solid">
        <fgColor rgb="FFC8E6C9"/>
        <bgColor rgb="FFBBDEFB"/>
      </patternFill>
    </fill>
    <fill>
      <patternFill patternType="solid">
        <fgColor rgb="FFF5F5F5"/>
        <bgColor rgb="FFFFFFFF"/>
      </patternFill>
    </fill>
    <fill>
      <patternFill patternType="solid">
        <fgColor rgb="FF00B050"/>
        <bgColor rgb="FF993366"/>
      </patternFill>
    </fill>
    <fill>
      <patternFill patternType="solid">
        <fgColor theme="0"/>
        <bgColor rgb="FFFFFF99"/>
      </patternFill>
    </fill>
    <fill>
      <patternFill patternType="solid">
        <fgColor theme="3" tint="-0.249977111117893"/>
        <bgColor rgb="FF993366"/>
      </patternFill>
    </fill>
    <fill>
      <patternFill patternType="solid">
        <fgColor theme="3" tint="-0.249977111117893"/>
        <bgColor rgb="FF3366FF"/>
      </patternFill>
    </fill>
    <fill>
      <patternFill patternType="solid">
        <fgColor theme="9"/>
        <bgColor rgb="FF993366"/>
      </patternFill>
    </fill>
    <fill>
      <patternFill patternType="solid">
        <fgColor theme="9"/>
        <bgColor rgb="FF3366FF"/>
      </patternFill>
    </fill>
    <fill>
      <patternFill patternType="solid">
        <fgColor theme="9"/>
        <bgColor rgb="FF008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CCCCC"/>
      </bottom>
      <diagonal/>
    </border>
  </borders>
  <cellStyleXfs count="4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64" fontId="0" fillId="0" borderId="1" xfId="0" applyNumberForma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0" fillId="8" borderId="1" xfId="0" applyFill="1" applyBorder="1"/>
    <xf numFmtId="164" fontId="0" fillId="8" borderId="1" xfId="0" applyNumberForma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9" fontId="0" fillId="8" borderId="1" xfId="0" applyNumberFormat="1" applyFill="1" applyBorder="1"/>
    <xf numFmtId="10" fontId="4" fillId="8" borderId="1" xfId="0" applyNumberFormat="1" applyFont="1" applyFill="1" applyBorder="1"/>
    <xf numFmtId="0" fontId="10" fillId="2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/>
    <xf numFmtId="0" fontId="18" fillId="8" borderId="2" xfId="0" applyFont="1" applyFill="1" applyBorder="1" applyAlignment="1">
      <alignment horizontal="center" vertical="center"/>
    </xf>
    <xf numFmtId="0" fontId="19" fillId="8" borderId="2" xfId="0" applyFont="1" applyFill="1" applyBorder="1"/>
    <xf numFmtId="0" fontId="1" fillId="0" borderId="2" xfId="3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6" fillId="4" borderId="1" xfId="1" applyNumberFormat="1" applyFont="1" applyFill="1" applyBorder="1" applyAlignment="1">
      <alignment horizontal="center" vertical="center"/>
    </xf>
    <xf numFmtId="165" fontId="6" fillId="11" borderId="1" xfId="1" applyNumberFormat="1" applyFont="1" applyFill="1" applyBorder="1" applyAlignment="1">
      <alignment horizontal="center" vertical="center"/>
    </xf>
    <xf numFmtId="9" fontId="0" fillId="0" borderId="0" xfId="2" applyFont="1"/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166" fontId="4" fillId="0" borderId="1" xfId="0" applyNumberFormat="1" applyFont="1" applyBorder="1" applyAlignment="1">
      <alignment horizontal="center" vertical="center"/>
    </xf>
    <xf numFmtId="164" fontId="4" fillId="8" borderId="1" xfId="0" applyNumberFormat="1" applyFont="1" applyFill="1" applyBorder="1"/>
    <xf numFmtId="0" fontId="0" fillId="18" borderId="0" xfId="0" applyFill="1"/>
    <xf numFmtId="0" fontId="22" fillId="0" borderId="0" xfId="0" applyFont="1"/>
    <xf numFmtId="0" fontId="21" fillId="14" borderId="0" xfId="0" applyFont="1" applyFill="1" applyAlignment="1">
      <alignment horizontal="center" vertical="center"/>
    </xf>
    <xf numFmtId="0" fontId="3" fillId="0" borderId="0" xfId="0" applyFont="1"/>
    <xf numFmtId="0" fontId="9" fillId="16" borderId="0" xfId="0" applyFont="1" applyFill="1"/>
    <xf numFmtId="0" fontId="20" fillId="17" borderId="2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9" fillId="8" borderId="0" xfId="0" applyFont="1" applyFill="1"/>
    <xf numFmtId="0" fontId="13" fillId="0" borderId="0" xfId="0" applyFont="1"/>
    <xf numFmtId="0" fontId="7" fillId="0" borderId="0" xfId="0" applyFont="1"/>
    <xf numFmtId="0" fontId="9" fillId="0" borderId="0" xfId="0" applyFont="1"/>
    <xf numFmtId="0" fontId="4" fillId="6" borderId="3" xfId="0" applyFont="1" applyFill="1" applyBorder="1" applyAlignment="1">
      <alignment horizontal="left"/>
    </xf>
    <xf numFmtId="0" fontId="2" fillId="15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3" borderId="0" xfId="0" applyFont="1" applyFill="1"/>
    <xf numFmtId="0" fontId="8" fillId="0" borderId="0" xfId="0" applyFont="1"/>
    <xf numFmtId="0" fontId="5" fillId="1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6" fillId="4" borderId="1" xfId="0" applyFont="1" applyFill="1" applyBorder="1"/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0" borderId="0" xfId="0" applyFont="1"/>
    <xf numFmtId="0" fontId="2" fillId="10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487C3DC3-BA49-44CF-BA03-AB052DCBD9B6}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5F5F5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E1BEE7"/>
      <rgbColor rgb="FFFFE0B2"/>
      <rgbColor rgb="FF3366FF"/>
      <rgbColor rgb="FF33CCCC"/>
      <rgbColor rgb="FF99CC00"/>
      <rgbColor rgb="FFFFCC00"/>
      <rgbColor rgb="FFFF9900"/>
      <rgbColor rgb="FFE539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657225</xdr:colOff>
      <xdr:row>4</xdr:row>
      <xdr:rowOff>76200</xdr:rowOff>
    </xdr:from>
    <xdr:to>
      <xdr:col>15</xdr:col>
      <xdr:colOff>321434</xdr:colOff>
      <xdr:row>44</xdr:row>
      <xdr:rowOff>172474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71D47-DD37-E6E1-7D2B-42829007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8325" y="876300"/>
          <a:ext cx="5436359" cy="7335274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876300</xdr:colOff>
      <xdr:row>19</xdr:row>
      <xdr:rowOff>95250</xdr:rowOff>
    </xdr:from>
    <xdr:to>
      <xdr:col>6</xdr:col>
      <xdr:colOff>435446</xdr:colOff>
      <xdr:row>45</xdr:row>
      <xdr:rowOff>153065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327A3-D884-D8AD-FA2A-61FA6208E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6575" y="3609975"/>
          <a:ext cx="3369146" cy="4763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398319</xdr:colOff>
      <xdr:row>3</xdr:row>
      <xdr:rowOff>51954</xdr:rowOff>
    </xdr:from>
    <xdr:to>
      <xdr:col>17</xdr:col>
      <xdr:colOff>463732</xdr:colOff>
      <xdr:row>53</xdr:row>
      <xdr:rowOff>50669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8975AD-BDAD-44FD-8502-46626BDDD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2819" y="675409"/>
          <a:ext cx="5442709" cy="7338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"/>
  <sheetViews>
    <sheetView showGridLines="0" zoomScale="90" zoomScaleNormal="90" workbookViewId="0">
      <selection activeCell="K7" sqref="K7"/>
    </sheetView>
  </sheetViews>
  <sheetFormatPr defaultColWidth="8.54296875" defaultRowHeight="14.5" x14ac:dyDescent="0.35"/>
  <cols>
    <col min="1" max="1" width="12.26953125" customWidth="1"/>
    <col min="2" max="2" width="12" customWidth="1"/>
    <col min="3" max="3" width="10.1796875" customWidth="1"/>
    <col min="4" max="5" width="14" customWidth="1"/>
    <col min="6" max="6" width="31.7265625" style="41" customWidth="1"/>
    <col min="7" max="7" width="14" customWidth="1"/>
  </cols>
  <sheetData>
    <row r="1" spans="1:8" ht="17.25" customHeight="1" x14ac:dyDescent="0.35">
      <c r="A1" s="51" t="s">
        <v>0</v>
      </c>
      <c r="B1" s="51"/>
      <c r="C1" s="51"/>
      <c r="D1" s="51"/>
      <c r="E1" s="51"/>
      <c r="F1" s="51"/>
      <c r="G1" s="51"/>
      <c r="H1" s="51"/>
    </row>
    <row r="2" spans="1:8" ht="15" customHeight="1" x14ac:dyDescent="0.35">
      <c r="A2" s="52" t="s">
        <v>1</v>
      </c>
      <c r="B2" s="52"/>
      <c r="C2" s="52"/>
      <c r="D2" s="52"/>
      <c r="E2" s="52"/>
      <c r="F2" s="52"/>
      <c r="G2" s="52"/>
      <c r="H2" s="52"/>
    </row>
    <row r="4" spans="1:8" ht="15" customHeight="1" x14ac:dyDescent="0.3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</row>
    <row r="5" spans="1:8" ht="15" customHeight="1" x14ac:dyDescent="0.35">
      <c r="A5" s="35" t="s">
        <v>9</v>
      </c>
      <c r="B5" s="36" t="s">
        <v>10</v>
      </c>
      <c r="C5" s="31" t="s">
        <v>11</v>
      </c>
      <c r="D5" s="31" t="s">
        <v>12</v>
      </c>
      <c r="E5" s="31" t="s">
        <v>13</v>
      </c>
      <c r="F5" s="39" t="s">
        <v>14</v>
      </c>
      <c r="G5" s="32"/>
    </row>
    <row r="6" spans="1:8" ht="15" customHeight="1" x14ac:dyDescent="0.35">
      <c r="A6" s="35" t="s">
        <v>15</v>
      </c>
      <c r="B6" s="36" t="s">
        <v>10</v>
      </c>
      <c r="C6" s="31" t="s">
        <v>11</v>
      </c>
      <c r="D6" s="31" t="s">
        <v>16</v>
      </c>
      <c r="E6" s="31" t="s">
        <v>17</v>
      </c>
      <c r="F6" s="40" t="s">
        <v>18</v>
      </c>
      <c r="G6" s="32"/>
    </row>
    <row r="7" spans="1:8" ht="15" customHeight="1" x14ac:dyDescent="0.35">
      <c r="A7" s="35" t="s">
        <v>19</v>
      </c>
      <c r="B7" s="36" t="s">
        <v>20</v>
      </c>
      <c r="C7" s="31" t="s">
        <v>21</v>
      </c>
      <c r="D7" s="31" t="s">
        <v>22</v>
      </c>
      <c r="E7" s="31" t="s">
        <v>23</v>
      </c>
      <c r="F7" s="39" t="s">
        <v>24</v>
      </c>
      <c r="G7" s="32"/>
    </row>
    <row r="8" spans="1:8" ht="15" customHeight="1" x14ac:dyDescent="0.35">
      <c r="A8" s="35" t="s">
        <v>25</v>
      </c>
      <c r="B8" s="36" t="s">
        <v>26</v>
      </c>
      <c r="C8" s="31" t="s">
        <v>21</v>
      </c>
      <c r="D8" s="31" t="s">
        <v>27</v>
      </c>
      <c r="E8" s="31" t="s">
        <v>28</v>
      </c>
      <c r="F8" s="39" t="s">
        <v>29</v>
      </c>
      <c r="G8" s="32"/>
    </row>
    <row r="9" spans="1:8" ht="15" customHeight="1" x14ac:dyDescent="0.35">
      <c r="A9" s="35" t="s">
        <v>30</v>
      </c>
      <c r="B9" s="36" t="s">
        <v>20</v>
      </c>
      <c r="C9" s="31" t="s">
        <v>31</v>
      </c>
      <c r="D9" s="31" t="s">
        <v>32</v>
      </c>
      <c r="E9" s="31" t="s">
        <v>33</v>
      </c>
      <c r="F9" s="39" t="s">
        <v>34</v>
      </c>
      <c r="G9" s="32"/>
    </row>
    <row r="10" spans="1:8" ht="15" customHeight="1" x14ac:dyDescent="0.35">
      <c r="A10" s="35" t="s">
        <v>35</v>
      </c>
      <c r="B10" s="36" t="s">
        <v>36</v>
      </c>
      <c r="C10" s="31" t="s">
        <v>31</v>
      </c>
      <c r="D10" s="31" t="s">
        <v>37</v>
      </c>
      <c r="E10" s="31" t="s">
        <v>38</v>
      </c>
      <c r="F10" s="39" t="s">
        <v>39</v>
      </c>
      <c r="G10" s="32"/>
    </row>
    <row r="11" spans="1:8" ht="15" customHeight="1" x14ac:dyDescent="0.35">
      <c r="A11" s="35" t="s">
        <v>40</v>
      </c>
      <c r="B11" s="36" t="s">
        <v>36</v>
      </c>
      <c r="C11" s="31" t="s">
        <v>31</v>
      </c>
      <c r="D11" s="31" t="s">
        <v>41</v>
      </c>
      <c r="E11" s="31" t="s">
        <v>42</v>
      </c>
      <c r="F11" s="39" t="s">
        <v>43</v>
      </c>
      <c r="G11" s="32"/>
    </row>
    <row r="12" spans="1:8" ht="15" customHeight="1" x14ac:dyDescent="0.35">
      <c r="A12" s="35" t="s">
        <v>44</v>
      </c>
      <c r="B12" s="36" t="s">
        <v>26</v>
      </c>
      <c r="C12" s="31" t="s">
        <v>31</v>
      </c>
      <c r="D12" s="31" t="s">
        <v>45</v>
      </c>
      <c r="E12" s="31" t="s">
        <v>46</v>
      </c>
      <c r="F12" s="39" t="s">
        <v>47</v>
      </c>
      <c r="G12" s="32"/>
    </row>
    <row r="13" spans="1:8" ht="15" customHeight="1" x14ac:dyDescent="0.35">
      <c r="A13" s="35" t="s">
        <v>48</v>
      </c>
      <c r="B13" s="36" t="s">
        <v>49</v>
      </c>
      <c r="C13" s="31" t="s">
        <v>50</v>
      </c>
      <c r="D13" s="31" t="s">
        <v>51</v>
      </c>
      <c r="E13" s="31" t="s">
        <v>52</v>
      </c>
      <c r="F13" s="39" t="s">
        <v>53</v>
      </c>
      <c r="G13" s="32"/>
    </row>
    <row r="14" spans="1:8" ht="15" customHeight="1" x14ac:dyDescent="0.35">
      <c r="A14" s="37" t="s">
        <v>54</v>
      </c>
      <c r="B14" s="38" t="s">
        <v>55</v>
      </c>
      <c r="C14" s="33" t="s">
        <v>50</v>
      </c>
      <c r="D14" s="33" t="s">
        <v>56</v>
      </c>
      <c r="E14" s="33" t="s">
        <v>57</v>
      </c>
      <c r="F14" s="33" t="s">
        <v>58</v>
      </c>
      <c r="G14" s="32"/>
    </row>
    <row r="15" spans="1:8" ht="15" customHeight="1" x14ac:dyDescent="0.35">
      <c r="A15" s="35" t="s">
        <v>59</v>
      </c>
      <c r="B15" s="36" t="s">
        <v>49</v>
      </c>
      <c r="C15" s="31" t="s">
        <v>50</v>
      </c>
      <c r="D15" s="31" t="s">
        <v>60</v>
      </c>
      <c r="E15" s="31" t="s">
        <v>61</v>
      </c>
      <c r="F15" s="39" t="s">
        <v>62</v>
      </c>
      <c r="G15" s="32"/>
    </row>
    <row r="16" spans="1:8" ht="15" customHeight="1" x14ac:dyDescent="0.35">
      <c r="A16" s="35" t="s">
        <v>63</v>
      </c>
      <c r="B16" s="36" t="s">
        <v>55</v>
      </c>
      <c r="C16" s="31" t="s">
        <v>50</v>
      </c>
      <c r="D16" s="31" t="s">
        <v>64</v>
      </c>
      <c r="E16" s="31" t="s">
        <v>65</v>
      </c>
      <c r="F16" s="39" t="s">
        <v>66</v>
      </c>
      <c r="G16" s="32"/>
    </row>
    <row r="17" spans="1:7" ht="15" customHeight="1" x14ac:dyDescent="0.35">
      <c r="A17" s="35" t="s">
        <v>67</v>
      </c>
      <c r="B17" s="36" t="s">
        <v>68</v>
      </c>
      <c r="C17" s="31" t="s">
        <v>69</v>
      </c>
      <c r="D17" s="31" t="s">
        <v>70</v>
      </c>
      <c r="E17" s="31" t="s">
        <v>71</v>
      </c>
      <c r="F17" s="39" t="s">
        <v>72</v>
      </c>
      <c r="G17" s="32"/>
    </row>
    <row r="18" spans="1:7" ht="15" customHeight="1" x14ac:dyDescent="0.35">
      <c r="A18" s="35" t="s">
        <v>73</v>
      </c>
      <c r="B18" s="36" t="s">
        <v>74</v>
      </c>
      <c r="C18" s="31" t="s">
        <v>69</v>
      </c>
      <c r="D18" s="31" t="s">
        <v>75</v>
      </c>
      <c r="E18" s="31" t="s">
        <v>76</v>
      </c>
      <c r="F18" s="39" t="s">
        <v>77</v>
      </c>
      <c r="G18" s="32"/>
    </row>
    <row r="19" spans="1:7" ht="15" customHeight="1" x14ac:dyDescent="0.35">
      <c r="A19" s="35" t="s">
        <v>78</v>
      </c>
      <c r="B19" s="36" t="s">
        <v>68</v>
      </c>
      <c r="C19" s="31" t="s">
        <v>69</v>
      </c>
      <c r="D19" s="31" t="s">
        <v>79</v>
      </c>
      <c r="E19" s="31" t="s">
        <v>80</v>
      </c>
      <c r="F19" s="39" t="s">
        <v>81</v>
      </c>
      <c r="G19" s="32"/>
    </row>
    <row r="20" spans="1:7" ht="15" customHeight="1" x14ac:dyDescent="0.35">
      <c r="A20" s="35" t="s">
        <v>82</v>
      </c>
      <c r="B20" s="36" t="s">
        <v>74</v>
      </c>
      <c r="C20" s="31" t="s">
        <v>69</v>
      </c>
      <c r="D20" s="31" t="s">
        <v>83</v>
      </c>
      <c r="E20" s="31" t="s">
        <v>84</v>
      </c>
      <c r="F20" s="39" t="s">
        <v>29</v>
      </c>
      <c r="G20" s="32"/>
    </row>
    <row r="21" spans="1:7" ht="15" customHeight="1" x14ac:dyDescent="0.35">
      <c r="A21" s="35" t="s">
        <v>85</v>
      </c>
      <c r="B21" s="36" t="s">
        <v>86</v>
      </c>
      <c r="C21" s="31" t="s">
        <v>87</v>
      </c>
      <c r="D21" s="31" t="s">
        <v>88</v>
      </c>
      <c r="E21" s="31" t="s">
        <v>89</v>
      </c>
      <c r="F21" s="39" t="s">
        <v>39</v>
      </c>
      <c r="G21" s="32"/>
    </row>
    <row r="22" spans="1:7" ht="15" customHeight="1" x14ac:dyDescent="0.35">
      <c r="A22" s="35" t="s">
        <v>90</v>
      </c>
      <c r="B22" s="36" t="s">
        <v>86</v>
      </c>
      <c r="C22" s="31" t="s">
        <v>87</v>
      </c>
      <c r="D22" s="31" t="s">
        <v>91</v>
      </c>
      <c r="E22" s="31" t="s">
        <v>92</v>
      </c>
      <c r="F22" s="40" t="s">
        <v>93</v>
      </c>
      <c r="G22" s="32"/>
    </row>
    <row r="23" spans="1:7" ht="15" customHeight="1" x14ac:dyDescent="0.35">
      <c r="A23" s="35" t="s">
        <v>94</v>
      </c>
      <c r="B23" s="36" t="s">
        <v>95</v>
      </c>
      <c r="C23" s="31" t="s">
        <v>87</v>
      </c>
      <c r="D23" s="31" t="s">
        <v>96</v>
      </c>
      <c r="E23" s="31" t="s">
        <v>97</v>
      </c>
      <c r="F23" s="40" t="s">
        <v>98</v>
      </c>
      <c r="G23" s="32"/>
    </row>
    <row r="24" spans="1:7" ht="15" customHeight="1" x14ac:dyDescent="0.35">
      <c r="A24" s="35" t="s">
        <v>99</v>
      </c>
      <c r="B24" s="36" t="s">
        <v>95</v>
      </c>
      <c r="C24" s="31" t="s">
        <v>87</v>
      </c>
      <c r="D24" s="31" t="s">
        <v>100</v>
      </c>
      <c r="E24" s="31" t="s">
        <v>101</v>
      </c>
      <c r="F24" s="39" t="s">
        <v>34</v>
      </c>
      <c r="G24" s="32"/>
    </row>
    <row r="25" spans="1:7" ht="15" customHeight="1" x14ac:dyDescent="0.35">
      <c r="A25" s="35" t="s">
        <v>102</v>
      </c>
      <c r="B25" s="36" t="s">
        <v>103</v>
      </c>
      <c r="C25" s="31" t="s">
        <v>104</v>
      </c>
      <c r="D25" s="31" t="s">
        <v>105</v>
      </c>
      <c r="E25" s="31" t="s">
        <v>106</v>
      </c>
      <c r="F25" s="39" t="s">
        <v>53</v>
      </c>
      <c r="G25" s="32"/>
    </row>
    <row r="26" spans="1:7" ht="15" customHeight="1" x14ac:dyDescent="0.35">
      <c r="A26" s="37" t="s">
        <v>107</v>
      </c>
      <c r="B26" s="38" t="s">
        <v>108</v>
      </c>
      <c r="C26" s="33" t="s">
        <v>104</v>
      </c>
      <c r="D26" s="33" t="s">
        <v>109</v>
      </c>
      <c r="E26" s="33" t="s">
        <v>110</v>
      </c>
      <c r="F26" s="33" t="s">
        <v>58</v>
      </c>
      <c r="G26" s="32"/>
    </row>
    <row r="27" spans="1:7" ht="15" customHeight="1" x14ac:dyDescent="0.35">
      <c r="A27" s="35" t="s">
        <v>111</v>
      </c>
      <c r="B27" s="36" t="s">
        <v>108</v>
      </c>
      <c r="C27" s="31" t="s">
        <v>104</v>
      </c>
      <c r="D27" s="31" t="s">
        <v>112</v>
      </c>
      <c r="E27" s="31" t="s">
        <v>113</v>
      </c>
      <c r="F27" s="39" t="s">
        <v>24</v>
      </c>
      <c r="G27" s="32"/>
    </row>
    <row r="28" spans="1:7" ht="15" customHeight="1" x14ac:dyDescent="0.35">
      <c r="A28" s="35" t="s">
        <v>114</v>
      </c>
      <c r="B28" s="36" t="s">
        <v>103</v>
      </c>
      <c r="C28" s="31" t="s">
        <v>104</v>
      </c>
      <c r="D28" s="31" t="s">
        <v>115</v>
      </c>
      <c r="E28" s="31" t="s">
        <v>116</v>
      </c>
      <c r="F28" s="39" t="s">
        <v>14</v>
      </c>
      <c r="G28" s="32"/>
    </row>
    <row r="29" spans="1:7" ht="15" customHeight="1" x14ac:dyDescent="0.35">
      <c r="A29" s="35" t="s">
        <v>117</v>
      </c>
      <c r="B29" s="36" t="s">
        <v>10</v>
      </c>
      <c r="C29" s="31" t="s">
        <v>118</v>
      </c>
      <c r="D29" s="31" t="s">
        <v>17</v>
      </c>
      <c r="E29" s="31" t="s">
        <v>13</v>
      </c>
      <c r="F29" s="40" t="s">
        <v>119</v>
      </c>
      <c r="G29" s="32"/>
    </row>
    <row r="30" spans="1:7" ht="15" customHeight="1" x14ac:dyDescent="0.35">
      <c r="A30" s="35" t="s">
        <v>120</v>
      </c>
      <c r="B30" s="36" t="s">
        <v>20</v>
      </c>
      <c r="C30" s="31" t="s">
        <v>118</v>
      </c>
      <c r="D30" s="31" t="s">
        <v>33</v>
      </c>
      <c r="E30" s="31" t="s">
        <v>23</v>
      </c>
      <c r="F30" s="39" t="s">
        <v>29</v>
      </c>
      <c r="G30" s="32"/>
    </row>
    <row r="31" spans="1:7" ht="15" customHeight="1" x14ac:dyDescent="0.35">
      <c r="A31" s="35" t="s">
        <v>121</v>
      </c>
      <c r="B31" s="36" t="s">
        <v>20</v>
      </c>
      <c r="C31" s="31" t="s">
        <v>118</v>
      </c>
      <c r="D31" s="31" t="s">
        <v>22</v>
      </c>
      <c r="E31" s="31" t="s">
        <v>32</v>
      </c>
      <c r="F31" s="40" t="s">
        <v>122</v>
      </c>
      <c r="G31" s="32"/>
    </row>
    <row r="32" spans="1:7" ht="15" customHeight="1" x14ac:dyDescent="0.35">
      <c r="A32" s="35" t="s">
        <v>123</v>
      </c>
      <c r="B32" s="36" t="s">
        <v>10</v>
      </c>
      <c r="C32" s="31" t="s">
        <v>118</v>
      </c>
      <c r="D32" s="31" t="s">
        <v>12</v>
      </c>
      <c r="E32" s="31" t="s">
        <v>16</v>
      </c>
      <c r="F32" s="40" t="s">
        <v>18</v>
      </c>
      <c r="G32" s="32"/>
    </row>
    <row r="33" spans="1:7" ht="15" customHeight="1" x14ac:dyDescent="0.35">
      <c r="A33" s="35" t="s">
        <v>124</v>
      </c>
      <c r="B33" s="36" t="s">
        <v>26</v>
      </c>
      <c r="C33" s="31" t="s">
        <v>125</v>
      </c>
      <c r="D33" s="31" t="s">
        <v>27</v>
      </c>
      <c r="E33" s="31" t="s">
        <v>45</v>
      </c>
      <c r="F33" s="39" t="s">
        <v>77</v>
      </c>
      <c r="G33" s="32"/>
    </row>
    <row r="34" spans="1:7" ht="15" customHeight="1" x14ac:dyDescent="0.35">
      <c r="A34" s="35" t="s">
        <v>126</v>
      </c>
      <c r="B34" s="36" t="s">
        <v>36</v>
      </c>
      <c r="C34" s="31" t="s">
        <v>125</v>
      </c>
      <c r="D34" s="31" t="s">
        <v>42</v>
      </c>
      <c r="E34" s="31" t="s">
        <v>38</v>
      </c>
      <c r="F34" s="40" t="s">
        <v>93</v>
      </c>
      <c r="G34" s="32"/>
    </row>
    <row r="35" spans="1:7" ht="15" customHeight="1" x14ac:dyDescent="0.35">
      <c r="A35" s="35" t="s">
        <v>127</v>
      </c>
      <c r="B35" s="36" t="s">
        <v>36</v>
      </c>
      <c r="C35" s="31" t="s">
        <v>125</v>
      </c>
      <c r="D35" s="31" t="s">
        <v>37</v>
      </c>
      <c r="E35" s="31" t="s">
        <v>41</v>
      </c>
      <c r="F35" s="40" t="s">
        <v>128</v>
      </c>
      <c r="G35" s="32"/>
    </row>
    <row r="36" spans="1:7" ht="15" customHeight="1" x14ac:dyDescent="0.35">
      <c r="A36" s="35" t="s">
        <v>129</v>
      </c>
      <c r="B36" s="36" t="s">
        <v>26</v>
      </c>
      <c r="C36" s="31" t="s">
        <v>125</v>
      </c>
      <c r="D36" s="31" t="s">
        <v>46</v>
      </c>
      <c r="E36" s="31" t="s">
        <v>28</v>
      </c>
      <c r="F36" s="39" t="s">
        <v>34</v>
      </c>
      <c r="G36" s="32"/>
    </row>
    <row r="37" spans="1:7" ht="15" customHeight="1" x14ac:dyDescent="0.35">
      <c r="A37" s="35" t="s">
        <v>130</v>
      </c>
      <c r="B37" s="36" t="s">
        <v>55</v>
      </c>
      <c r="C37" s="31" t="s">
        <v>131</v>
      </c>
      <c r="D37" s="31" t="s">
        <v>56</v>
      </c>
      <c r="E37" s="31" t="s">
        <v>64</v>
      </c>
      <c r="F37" s="39" t="s">
        <v>53</v>
      </c>
      <c r="G37" s="32"/>
    </row>
    <row r="38" spans="1:7" ht="15" customHeight="1" x14ac:dyDescent="0.35">
      <c r="A38" s="35" t="s">
        <v>132</v>
      </c>
      <c r="B38" s="36" t="s">
        <v>49</v>
      </c>
      <c r="C38" s="31" t="s">
        <v>131</v>
      </c>
      <c r="D38" s="31" t="s">
        <v>51</v>
      </c>
      <c r="E38" s="31" t="s">
        <v>60</v>
      </c>
      <c r="F38" s="39" t="s">
        <v>24</v>
      </c>
      <c r="G38" s="32"/>
    </row>
    <row r="39" spans="1:7" ht="15" customHeight="1" x14ac:dyDescent="0.35">
      <c r="A39" s="35" t="s">
        <v>133</v>
      </c>
      <c r="B39" s="36" t="s">
        <v>49</v>
      </c>
      <c r="C39" s="31" t="s">
        <v>131</v>
      </c>
      <c r="D39" s="31" t="s">
        <v>61</v>
      </c>
      <c r="E39" s="31" t="s">
        <v>52</v>
      </c>
      <c r="F39" s="40" t="s">
        <v>98</v>
      </c>
      <c r="G39" s="32"/>
    </row>
    <row r="40" spans="1:7" ht="15" customHeight="1" x14ac:dyDescent="0.35">
      <c r="A40" s="35" t="s">
        <v>134</v>
      </c>
      <c r="B40" s="36" t="s">
        <v>55</v>
      </c>
      <c r="C40" s="31" t="s">
        <v>131</v>
      </c>
      <c r="D40" s="31" t="s">
        <v>65</v>
      </c>
      <c r="E40" s="31" t="s">
        <v>57</v>
      </c>
      <c r="F40" s="40" t="s">
        <v>135</v>
      </c>
      <c r="G40" s="32"/>
    </row>
    <row r="41" spans="1:7" ht="15" customHeight="1" x14ac:dyDescent="0.35">
      <c r="A41" s="35" t="s">
        <v>136</v>
      </c>
      <c r="B41" s="36" t="s">
        <v>68</v>
      </c>
      <c r="C41" s="31" t="s">
        <v>137</v>
      </c>
      <c r="D41" s="31" t="s">
        <v>70</v>
      </c>
      <c r="E41" s="31" t="s">
        <v>79</v>
      </c>
      <c r="F41" s="40" t="s">
        <v>119</v>
      </c>
      <c r="G41" s="32"/>
    </row>
    <row r="42" spans="1:7" ht="15" customHeight="1" x14ac:dyDescent="0.35">
      <c r="A42" s="35" t="s">
        <v>138</v>
      </c>
      <c r="B42" s="36" t="s">
        <v>74</v>
      </c>
      <c r="C42" s="31" t="s">
        <v>137</v>
      </c>
      <c r="D42" s="31" t="s">
        <v>75</v>
      </c>
      <c r="E42" s="31" t="s">
        <v>83</v>
      </c>
      <c r="F42" s="39" t="s">
        <v>29</v>
      </c>
      <c r="G42" s="32"/>
    </row>
    <row r="43" spans="1:7" ht="15" customHeight="1" x14ac:dyDescent="0.35">
      <c r="A43" s="35" t="s">
        <v>139</v>
      </c>
      <c r="B43" s="36" t="s">
        <v>68</v>
      </c>
      <c r="C43" s="31" t="s">
        <v>137</v>
      </c>
      <c r="D43" s="31" t="s">
        <v>80</v>
      </c>
      <c r="E43" s="31" t="s">
        <v>71</v>
      </c>
      <c r="F43" s="40" t="s">
        <v>140</v>
      </c>
      <c r="G43" s="32"/>
    </row>
    <row r="44" spans="1:7" ht="15" customHeight="1" x14ac:dyDescent="0.35">
      <c r="A44" s="35" t="s">
        <v>141</v>
      </c>
      <c r="B44" s="36" t="s">
        <v>74</v>
      </c>
      <c r="C44" s="31" t="s">
        <v>137</v>
      </c>
      <c r="D44" s="31" t="s">
        <v>84</v>
      </c>
      <c r="E44" s="31" t="s">
        <v>76</v>
      </c>
      <c r="F44" s="40" t="s">
        <v>122</v>
      </c>
      <c r="G44" s="32"/>
    </row>
    <row r="45" spans="1:7" ht="15" customHeight="1" x14ac:dyDescent="0.35">
      <c r="A45" s="37" t="s">
        <v>142</v>
      </c>
      <c r="B45" s="38" t="s">
        <v>95</v>
      </c>
      <c r="C45" s="33" t="s">
        <v>143</v>
      </c>
      <c r="D45" s="33" t="s">
        <v>96</v>
      </c>
      <c r="E45" s="33" t="s">
        <v>100</v>
      </c>
      <c r="F45" s="33" t="s">
        <v>58</v>
      </c>
      <c r="G45" s="32"/>
    </row>
    <row r="46" spans="1:7" ht="15" customHeight="1" x14ac:dyDescent="0.35">
      <c r="A46" s="35" t="s">
        <v>144</v>
      </c>
      <c r="B46" s="36" t="s">
        <v>86</v>
      </c>
      <c r="C46" s="31" t="s">
        <v>143</v>
      </c>
      <c r="D46" s="31" t="s">
        <v>88</v>
      </c>
      <c r="E46" s="31" t="s">
        <v>91</v>
      </c>
      <c r="F46" s="40" t="s">
        <v>128</v>
      </c>
      <c r="G46" s="32"/>
    </row>
    <row r="47" spans="1:7" ht="15" customHeight="1" x14ac:dyDescent="0.35">
      <c r="A47" s="35" t="s">
        <v>145</v>
      </c>
      <c r="B47" s="36" t="s">
        <v>86</v>
      </c>
      <c r="C47" s="31" t="s">
        <v>143</v>
      </c>
      <c r="D47" s="31" t="s">
        <v>92</v>
      </c>
      <c r="E47" s="31" t="s">
        <v>89</v>
      </c>
      <c r="F47" s="39" t="s">
        <v>39</v>
      </c>
      <c r="G47" s="32"/>
    </row>
    <row r="48" spans="1:7" ht="15" customHeight="1" x14ac:dyDescent="0.35">
      <c r="A48" s="35" t="s">
        <v>146</v>
      </c>
      <c r="B48" s="36" t="s">
        <v>95</v>
      </c>
      <c r="C48" s="31" t="s">
        <v>143</v>
      </c>
      <c r="D48" s="31" t="s">
        <v>101</v>
      </c>
      <c r="E48" s="31" t="s">
        <v>97</v>
      </c>
      <c r="F48" s="39" t="s">
        <v>34</v>
      </c>
      <c r="G48" s="32"/>
    </row>
    <row r="49" spans="1:7" ht="15" customHeight="1" x14ac:dyDescent="0.35">
      <c r="A49" s="35" t="s">
        <v>147</v>
      </c>
      <c r="B49" s="36" t="s">
        <v>103</v>
      </c>
      <c r="C49" s="31" t="s">
        <v>148</v>
      </c>
      <c r="D49" s="31" t="s">
        <v>105</v>
      </c>
      <c r="E49" s="31" t="s">
        <v>115</v>
      </c>
      <c r="F49" s="39" t="s">
        <v>53</v>
      </c>
      <c r="G49" s="32"/>
    </row>
    <row r="50" spans="1:7" ht="15" customHeight="1" x14ac:dyDescent="0.35">
      <c r="A50" s="35" t="s">
        <v>149</v>
      </c>
      <c r="B50" s="36" t="s">
        <v>108</v>
      </c>
      <c r="C50" s="31" t="s">
        <v>148</v>
      </c>
      <c r="D50" s="31" t="s">
        <v>109</v>
      </c>
      <c r="E50" s="31" t="s">
        <v>112</v>
      </c>
      <c r="F50" s="40" t="s">
        <v>93</v>
      </c>
      <c r="G50" s="32"/>
    </row>
    <row r="51" spans="1:7" ht="15" customHeight="1" x14ac:dyDescent="0.35">
      <c r="A51" s="35" t="s">
        <v>150</v>
      </c>
      <c r="B51" s="36" t="s">
        <v>108</v>
      </c>
      <c r="C51" s="31" t="s">
        <v>148</v>
      </c>
      <c r="D51" s="31" t="s">
        <v>113</v>
      </c>
      <c r="E51" s="31" t="s">
        <v>110</v>
      </c>
      <c r="F51" s="39" t="s">
        <v>24</v>
      </c>
      <c r="G51" s="32"/>
    </row>
    <row r="52" spans="1:7" ht="15" customHeight="1" x14ac:dyDescent="0.35">
      <c r="A52" s="35" t="s">
        <v>151</v>
      </c>
      <c r="B52" s="36" t="s">
        <v>103</v>
      </c>
      <c r="C52" s="31" t="s">
        <v>148</v>
      </c>
      <c r="D52" s="31" t="s">
        <v>116</v>
      </c>
      <c r="E52" s="31" t="s">
        <v>106</v>
      </c>
      <c r="F52" s="40" t="s">
        <v>18</v>
      </c>
      <c r="G52" s="32"/>
    </row>
    <row r="53" spans="1:7" ht="15" customHeight="1" x14ac:dyDescent="0.35">
      <c r="A53" s="35" t="s">
        <v>152</v>
      </c>
      <c r="B53" s="36" t="s">
        <v>20</v>
      </c>
      <c r="C53" s="31" t="s">
        <v>153</v>
      </c>
      <c r="D53" s="31" t="s">
        <v>33</v>
      </c>
      <c r="E53" s="31" t="s">
        <v>22</v>
      </c>
      <c r="F53" s="40" t="s">
        <v>122</v>
      </c>
      <c r="G53" s="32"/>
    </row>
    <row r="54" spans="1:7" ht="15" customHeight="1" x14ac:dyDescent="0.35">
      <c r="A54" s="35" t="s">
        <v>154</v>
      </c>
      <c r="B54" s="36" t="s">
        <v>20</v>
      </c>
      <c r="C54" s="31" t="s">
        <v>153</v>
      </c>
      <c r="D54" s="31" t="s">
        <v>23</v>
      </c>
      <c r="E54" s="31" t="s">
        <v>32</v>
      </c>
      <c r="F54" s="39" t="s">
        <v>77</v>
      </c>
      <c r="G54" s="32"/>
    </row>
    <row r="55" spans="1:7" ht="15" customHeight="1" x14ac:dyDescent="0.35">
      <c r="A55" s="35" t="s">
        <v>155</v>
      </c>
      <c r="B55" s="36" t="s">
        <v>36</v>
      </c>
      <c r="C55" s="31" t="s">
        <v>153</v>
      </c>
      <c r="D55" s="31" t="s">
        <v>42</v>
      </c>
      <c r="E55" s="31" t="s">
        <v>37</v>
      </c>
      <c r="F55" s="40" t="s">
        <v>140</v>
      </c>
      <c r="G55" s="32"/>
    </row>
    <row r="56" spans="1:7" ht="15" customHeight="1" x14ac:dyDescent="0.35">
      <c r="A56" s="35" t="s">
        <v>156</v>
      </c>
      <c r="B56" s="36" t="s">
        <v>36</v>
      </c>
      <c r="C56" s="31" t="s">
        <v>153</v>
      </c>
      <c r="D56" s="31" t="s">
        <v>38</v>
      </c>
      <c r="E56" s="31" t="s">
        <v>41</v>
      </c>
      <c r="F56" s="40" t="s">
        <v>119</v>
      </c>
      <c r="G56" s="32"/>
    </row>
    <row r="57" spans="1:7" ht="15" customHeight="1" x14ac:dyDescent="0.35">
      <c r="A57" s="35" t="s">
        <v>157</v>
      </c>
      <c r="B57" s="36" t="s">
        <v>10</v>
      </c>
      <c r="C57" s="31" t="s">
        <v>153</v>
      </c>
      <c r="D57" s="31" t="s">
        <v>17</v>
      </c>
      <c r="E57" s="31" t="s">
        <v>12</v>
      </c>
      <c r="F57" s="39" t="s">
        <v>14</v>
      </c>
      <c r="G57" s="32"/>
    </row>
    <row r="58" spans="1:7" ht="15" customHeight="1" x14ac:dyDescent="0.35">
      <c r="A58" s="35" t="s">
        <v>158</v>
      </c>
      <c r="B58" s="36" t="s">
        <v>10</v>
      </c>
      <c r="C58" s="31" t="s">
        <v>153</v>
      </c>
      <c r="D58" s="31" t="s">
        <v>13</v>
      </c>
      <c r="E58" s="31" t="s">
        <v>16</v>
      </c>
      <c r="F58" s="40" t="s">
        <v>135</v>
      </c>
      <c r="G58" s="32"/>
    </row>
    <row r="59" spans="1:7" ht="15" customHeight="1" x14ac:dyDescent="0.35">
      <c r="A59" s="35" t="s">
        <v>159</v>
      </c>
      <c r="B59" s="36" t="s">
        <v>49</v>
      </c>
      <c r="C59" s="31" t="s">
        <v>160</v>
      </c>
      <c r="D59" s="31" t="s">
        <v>52</v>
      </c>
      <c r="E59" s="31" t="s">
        <v>60</v>
      </c>
      <c r="F59" s="40" t="s">
        <v>128</v>
      </c>
      <c r="G59" s="32"/>
    </row>
    <row r="60" spans="1:7" ht="15" customHeight="1" x14ac:dyDescent="0.35">
      <c r="A60" s="35" t="s">
        <v>161</v>
      </c>
      <c r="B60" s="36" t="s">
        <v>49</v>
      </c>
      <c r="C60" s="31" t="s">
        <v>160</v>
      </c>
      <c r="D60" s="31" t="s">
        <v>61</v>
      </c>
      <c r="E60" s="31" t="s">
        <v>51</v>
      </c>
      <c r="F60" s="39" t="s">
        <v>39</v>
      </c>
      <c r="G60" s="32"/>
    </row>
    <row r="61" spans="1:7" ht="15" customHeight="1" x14ac:dyDescent="0.35">
      <c r="A61" s="37" t="s">
        <v>162</v>
      </c>
      <c r="B61" s="38" t="s">
        <v>55</v>
      </c>
      <c r="C61" s="33" t="s">
        <v>160</v>
      </c>
      <c r="D61" s="33" t="s">
        <v>57</v>
      </c>
      <c r="E61" s="33" t="s">
        <v>64</v>
      </c>
      <c r="F61" s="33" t="s">
        <v>58</v>
      </c>
      <c r="G61" s="32"/>
    </row>
    <row r="62" spans="1:7" ht="15" customHeight="1" x14ac:dyDescent="0.35">
      <c r="A62" s="35" t="s">
        <v>163</v>
      </c>
      <c r="B62" s="36" t="s">
        <v>55</v>
      </c>
      <c r="C62" s="31" t="s">
        <v>160</v>
      </c>
      <c r="D62" s="31" t="s">
        <v>65</v>
      </c>
      <c r="E62" s="31" t="s">
        <v>56</v>
      </c>
      <c r="F62" s="40" t="s">
        <v>98</v>
      </c>
      <c r="G62" s="32"/>
    </row>
    <row r="63" spans="1:7" ht="15" customHeight="1" x14ac:dyDescent="0.35">
      <c r="A63" s="35" t="s">
        <v>164</v>
      </c>
      <c r="B63" s="36" t="s">
        <v>26</v>
      </c>
      <c r="C63" s="31" t="s">
        <v>160</v>
      </c>
      <c r="D63" s="31" t="s">
        <v>46</v>
      </c>
      <c r="E63" s="31" t="s">
        <v>27</v>
      </c>
      <c r="F63" s="39" t="s">
        <v>29</v>
      </c>
      <c r="G63" s="32"/>
    </row>
    <row r="64" spans="1:7" ht="15" customHeight="1" x14ac:dyDescent="0.35">
      <c r="A64" s="35" t="s">
        <v>165</v>
      </c>
      <c r="B64" s="36" t="s">
        <v>26</v>
      </c>
      <c r="C64" s="31" t="s">
        <v>160</v>
      </c>
      <c r="D64" s="31" t="s">
        <v>28</v>
      </c>
      <c r="E64" s="31" t="s">
        <v>45</v>
      </c>
      <c r="F64" s="39" t="s">
        <v>34</v>
      </c>
      <c r="G64" s="32"/>
    </row>
    <row r="65" spans="1:7" ht="15" customHeight="1" x14ac:dyDescent="0.35">
      <c r="A65" s="35" t="s">
        <v>166</v>
      </c>
      <c r="B65" s="36" t="s">
        <v>86</v>
      </c>
      <c r="C65" s="31" t="s">
        <v>167</v>
      </c>
      <c r="D65" s="31" t="s">
        <v>92</v>
      </c>
      <c r="E65" s="31" t="s">
        <v>88</v>
      </c>
      <c r="F65" s="40" t="s">
        <v>93</v>
      </c>
      <c r="G65" s="32"/>
    </row>
    <row r="66" spans="1:7" ht="15" customHeight="1" x14ac:dyDescent="0.35">
      <c r="A66" s="35" t="s">
        <v>168</v>
      </c>
      <c r="B66" s="36" t="s">
        <v>86</v>
      </c>
      <c r="C66" s="31" t="s">
        <v>167</v>
      </c>
      <c r="D66" s="31" t="s">
        <v>89</v>
      </c>
      <c r="E66" s="31" t="s">
        <v>91</v>
      </c>
      <c r="F66" s="39" t="s">
        <v>24</v>
      </c>
      <c r="G66" s="32"/>
    </row>
    <row r="67" spans="1:7" ht="15" customHeight="1" x14ac:dyDescent="0.35">
      <c r="A67" s="35" t="s">
        <v>169</v>
      </c>
      <c r="B67" s="36" t="s">
        <v>68</v>
      </c>
      <c r="C67" s="31" t="s">
        <v>167</v>
      </c>
      <c r="D67" s="31" t="s">
        <v>71</v>
      </c>
      <c r="E67" s="31" t="s">
        <v>79</v>
      </c>
      <c r="F67" s="39" t="s">
        <v>53</v>
      </c>
      <c r="G67" s="32"/>
    </row>
    <row r="68" spans="1:7" ht="15" customHeight="1" x14ac:dyDescent="0.35">
      <c r="A68" s="35" t="s">
        <v>170</v>
      </c>
      <c r="B68" s="36" t="s">
        <v>68</v>
      </c>
      <c r="C68" s="31" t="s">
        <v>167</v>
      </c>
      <c r="D68" s="31" t="s">
        <v>80</v>
      </c>
      <c r="E68" s="31" t="s">
        <v>70</v>
      </c>
      <c r="F68" s="40" t="s">
        <v>18</v>
      </c>
      <c r="G68" s="32"/>
    </row>
    <row r="69" spans="1:7" ht="15" customHeight="1" x14ac:dyDescent="0.35">
      <c r="A69" s="35" t="s">
        <v>171</v>
      </c>
      <c r="B69" s="36" t="s">
        <v>74</v>
      </c>
      <c r="C69" s="31" t="s">
        <v>167</v>
      </c>
      <c r="D69" s="31" t="s">
        <v>76</v>
      </c>
      <c r="E69" s="31" t="s">
        <v>83</v>
      </c>
      <c r="F69" s="39" t="s">
        <v>77</v>
      </c>
      <c r="G69" s="32"/>
    </row>
    <row r="70" spans="1:7" ht="15" customHeight="1" x14ac:dyDescent="0.35">
      <c r="A70" s="35" t="s">
        <v>172</v>
      </c>
      <c r="B70" s="36" t="s">
        <v>74</v>
      </c>
      <c r="C70" s="31" t="s">
        <v>167</v>
      </c>
      <c r="D70" s="31" t="s">
        <v>84</v>
      </c>
      <c r="E70" s="31" t="s">
        <v>75</v>
      </c>
      <c r="F70" s="40" t="s">
        <v>122</v>
      </c>
      <c r="G70" s="32"/>
    </row>
    <row r="71" spans="1:7" ht="15" customHeight="1" x14ac:dyDescent="0.35">
      <c r="A71" s="35" t="s">
        <v>173</v>
      </c>
      <c r="B71" s="36" t="s">
        <v>108</v>
      </c>
      <c r="C71" s="31" t="s">
        <v>174</v>
      </c>
      <c r="D71" s="31" t="s">
        <v>113</v>
      </c>
      <c r="E71" s="31" t="s">
        <v>109</v>
      </c>
      <c r="F71" s="39" t="s">
        <v>39</v>
      </c>
      <c r="G71" s="32"/>
    </row>
    <row r="72" spans="1:7" ht="15" customHeight="1" x14ac:dyDescent="0.35">
      <c r="A72" s="35" t="s">
        <v>175</v>
      </c>
      <c r="B72" s="36" t="s">
        <v>108</v>
      </c>
      <c r="C72" s="31" t="s">
        <v>174</v>
      </c>
      <c r="D72" s="31" t="s">
        <v>110</v>
      </c>
      <c r="E72" s="31" t="s">
        <v>112</v>
      </c>
      <c r="F72" s="40" t="s">
        <v>128</v>
      </c>
      <c r="G72" s="32"/>
    </row>
    <row r="73" spans="1:7" ht="15" customHeight="1" x14ac:dyDescent="0.35">
      <c r="A73" s="35" t="s">
        <v>176</v>
      </c>
      <c r="B73" s="36" t="s">
        <v>103</v>
      </c>
      <c r="C73" s="31" t="s">
        <v>174</v>
      </c>
      <c r="D73" s="31" t="s">
        <v>116</v>
      </c>
      <c r="E73" s="31" t="s">
        <v>105</v>
      </c>
      <c r="F73" s="40" t="s">
        <v>140</v>
      </c>
      <c r="G73" s="32"/>
    </row>
    <row r="74" spans="1:7" ht="15" customHeight="1" x14ac:dyDescent="0.35">
      <c r="A74" s="35" t="s">
        <v>177</v>
      </c>
      <c r="B74" s="36" t="s">
        <v>103</v>
      </c>
      <c r="C74" s="31" t="s">
        <v>174</v>
      </c>
      <c r="D74" s="31" t="s">
        <v>106</v>
      </c>
      <c r="E74" s="31" t="s">
        <v>115</v>
      </c>
      <c r="F74" s="40" t="s">
        <v>119</v>
      </c>
      <c r="G74" s="32"/>
    </row>
    <row r="75" spans="1:7" ht="15" customHeight="1" x14ac:dyDescent="0.35">
      <c r="A75" s="35" t="s">
        <v>178</v>
      </c>
      <c r="B75" s="36" t="s">
        <v>95</v>
      </c>
      <c r="C75" s="31" t="s">
        <v>174</v>
      </c>
      <c r="D75" s="31" t="s">
        <v>97</v>
      </c>
      <c r="E75" s="31" t="s">
        <v>100</v>
      </c>
      <c r="F75" s="40" t="s">
        <v>98</v>
      </c>
      <c r="G75" s="32"/>
    </row>
    <row r="76" spans="1:7" ht="15" customHeight="1" x14ac:dyDescent="0.35">
      <c r="A76" s="37" t="s">
        <v>179</v>
      </c>
      <c r="B76" s="38" t="s">
        <v>95</v>
      </c>
      <c r="C76" s="33" t="s">
        <v>174</v>
      </c>
      <c r="D76" s="33" t="s">
        <v>101</v>
      </c>
      <c r="E76" s="33" t="s">
        <v>96</v>
      </c>
      <c r="F76" s="33" t="s">
        <v>58</v>
      </c>
      <c r="G76" s="32"/>
    </row>
    <row r="77" spans="1:7" ht="15" customHeight="1" x14ac:dyDescent="0.35">
      <c r="A77" s="35" t="s">
        <v>180</v>
      </c>
      <c r="B77" s="36" t="s">
        <v>181</v>
      </c>
      <c r="C77" s="31" t="s">
        <v>182</v>
      </c>
      <c r="D77" s="31" t="s">
        <v>183</v>
      </c>
      <c r="E77" s="31" t="s">
        <v>184</v>
      </c>
      <c r="F77" s="39" t="s">
        <v>29</v>
      </c>
      <c r="G77" s="32"/>
    </row>
    <row r="78" spans="1:7" ht="15" customHeight="1" x14ac:dyDescent="0.35">
      <c r="A78" s="35" t="s">
        <v>185</v>
      </c>
      <c r="B78" s="36" t="s">
        <v>181</v>
      </c>
      <c r="C78" s="31" t="s">
        <v>186</v>
      </c>
      <c r="D78" s="31" t="s">
        <v>187</v>
      </c>
      <c r="E78" s="31" t="s">
        <v>188</v>
      </c>
      <c r="F78" s="39" t="s">
        <v>53</v>
      </c>
      <c r="G78" s="32"/>
    </row>
    <row r="79" spans="1:7" ht="15" customHeight="1" x14ac:dyDescent="0.35">
      <c r="A79" s="35" t="s">
        <v>189</v>
      </c>
      <c r="B79" s="36" t="s">
        <v>181</v>
      </c>
      <c r="C79" s="31" t="s">
        <v>186</v>
      </c>
      <c r="D79" s="31" t="s">
        <v>190</v>
      </c>
      <c r="E79" s="31" t="s">
        <v>191</v>
      </c>
      <c r="F79" s="40" t="s">
        <v>93</v>
      </c>
      <c r="G79" s="32"/>
    </row>
    <row r="80" spans="1:7" ht="15" customHeight="1" x14ac:dyDescent="0.35">
      <c r="A80" s="35" t="s">
        <v>192</v>
      </c>
      <c r="B80" s="36" t="s">
        <v>181</v>
      </c>
      <c r="C80" s="31" t="s">
        <v>186</v>
      </c>
      <c r="D80" s="31" t="s">
        <v>193</v>
      </c>
      <c r="E80" s="31" t="s">
        <v>194</v>
      </c>
      <c r="F80" s="40" t="s">
        <v>135</v>
      </c>
      <c r="G80" s="32"/>
    </row>
    <row r="81" spans="1:7" ht="15" customHeight="1" x14ac:dyDescent="0.35">
      <c r="A81" s="37" t="s">
        <v>195</v>
      </c>
      <c r="B81" s="38" t="s">
        <v>181</v>
      </c>
      <c r="C81" s="33" t="s">
        <v>196</v>
      </c>
      <c r="D81" s="33" t="s">
        <v>197</v>
      </c>
      <c r="E81" s="33" t="s">
        <v>198</v>
      </c>
      <c r="F81" s="33" t="s">
        <v>58</v>
      </c>
      <c r="G81" s="32"/>
    </row>
    <row r="82" spans="1:7" ht="15" customHeight="1" x14ac:dyDescent="0.35">
      <c r="A82" s="35" t="s">
        <v>199</v>
      </c>
      <c r="B82" s="36" t="s">
        <v>181</v>
      </c>
      <c r="C82" s="31" t="s">
        <v>196</v>
      </c>
      <c r="D82" s="31" t="s">
        <v>200</v>
      </c>
      <c r="E82" s="31" t="s">
        <v>201</v>
      </c>
      <c r="F82" s="39" t="s">
        <v>39</v>
      </c>
      <c r="G82" s="32"/>
    </row>
    <row r="83" spans="1:7" ht="15" customHeight="1" x14ac:dyDescent="0.35">
      <c r="A83" s="35" t="s">
        <v>202</v>
      </c>
      <c r="B83" s="36" t="s">
        <v>181</v>
      </c>
      <c r="C83" s="31" t="s">
        <v>196</v>
      </c>
      <c r="D83" s="31" t="s">
        <v>203</v>
      </c>
      <c r="E83" s="31" t="s">
        <v>204</v>
      </c>
      <c r="F83" s="39" t="s">
        <v>14</v>
      </c>
      <c r="G83" s="32"/>
    </row>
    <row r="84" spans="1:7" ht="15" customHeight="1" x14ac:dyDescent="0.35">
      <c r="A84" s="35" t="s">
        <v>205</v>
      </c>
      <c r="B84" s="36" t="s">
        <v>181</v>
      </c>
      <c r="C84" s="31" t="s">
        <v>206</v>
      </c>
      <c r="D84" s="31" t="s">
        <v>207</v>
      </c>
      <c r="E84" s="31" t="s">
        <v>208</v>
      </c>
      <c r="F84" s="40" t="s">
        <v>119</v>
      </c>
      <c r="G84" s="32"/>
    </row>
    <row r="85" spans="1:7" ht="15" customHeight="1" x14ac:dyDescent="0.35">
      <c r="A85" s="35" t="s">
        <v>209</v>
      </c>
      <c r="B85" s="36" t="s">
        <v>181</v>
      </c>
      <c r="C85" s="31" t="s">
        <v>206</v>
      </c>
      <c r="D85" s="31" t="s">
        <v>210</v>
      </c>
      <c r="E85" s="31" t="s">
        <v>211</v>
      </c>
      <c r="F85" s="39" t="s">
        <v>77</v>
      </c>
      <c r="G85" s="32"/>
    </row>
    <row r="86" spans="1:7" ht="15" customHeight="1" x14ac:dyDescent="0.35">
      <c r="A86" s="35" t="s">
        <v>212</v>
      </c>
      <c r="B86" s="36" t="s">
        <v>181</v>
      </c>
      <c r="C86" s="31" t="s">
        <v>206</v>
      </c>
      <c r="D86" s="31" t="s">
        <v>213</v>
      </c>
      <c r="E86" s="31" t="s">
        <v>214</v>
      </c>
      <c r="F86" s="39" t="s">
        <v>34</v>
      </c>
      <c r="G86" s="32"/>
    </row>
    <row r="87" spans="1:7" ht="15" customHeight="1" x14ac:dyDescent="0.35">
      <c r="A87" s="35" t="s">
        <v>215</v>
      </c>
      <c r="B87" s="36" t="s">
        <v>181</v>
      </c>
      <c r="C87" s="31" t="s">
        <v>216</v>
      </c>
      <c r="D87" s="31" t="s">
        <v>217</v>
      </c>
      <c r="E87" s="31" t="s">
        <v>218</v>
      </c>
      <c r="F87" s="39" t="s">
        <v>29</v>
      </c>
      <c r="G87" s="32"/>
    </row>
    <row r="88" spans="1:7" ht="15" customHeight="1" x14ac:dyDescent="0.35">
      <c r="A88" s="35" t="s">
        <v>219</v>
      </c>
      <c r="B88" s="36" t="s">
        <v>181</v>
      </c>
      <c r="C88" s="31" t="s">
        <v>216</v>
      </c>
      <c r="D88" s="31" t="s">
        <v>220</v>
      </c>
      <c r="E88" s="31" t="s">
        <v>221</v>
      </c>
      <c r="F88" s="39" t="s">
        <v>24</v>
      </c>
      <c r="G88" s="32"/>
    </row>
    <row r="89" spans="1:7" ht="15" customHeight="1" x14ac:dyDescent="0.35">
      <c r="A89" s="35" t="s">
        <v>222</v>
      </c>
      <c r="B89" s="36" t="s">
        <v>181</v>
      </c>
      <c r="C89" s="31" t="s">
        <v>216</v>
      </c>
      <c r="D89" s="31" t="s">
        <v>184</v>
      </c>
      <c r="E89" s="31" t="s">
        <v>223</v>
      </c>
      <c r="F89" s="40" t="s">
        <v>122</v>
      </c>
      <c r="G89" s="32"/>
    </row>
    <row r="90" spans="1:7" ht="15" customHeight="1" x14ac:dyDescent="0.35">
      <c r="A90" s="37" t="s">
        <v>224</v>
      </c>
      <c r="B90" s="38" t="s">
        <v>181</v>
      </c>
      <c r="C90" s="33" t="s">
        <v>225</v>
      </c>
      <c r="D90" s="33" t="s">
        <v>226</v>
      </c>
      <c r="E90" s="33" t="s">
        <v>227</v>
      </c>
      <c r="F90" s="33" t="s">
        <v>58</v>
      </c>
      <c r="G90" s="32"/>
    </row>
    <row r="91" spans="1:7" ht="15" customHeight="1" x14ac:dyDescent="0.35">
      <c r="A91" s="35" t="s">
        <v>228</v>
      </c>
      <c r="B91" s="36" t="s">
        <v>181</v>
      </c>
      <c r="C91" s="31" t="s">
        <v>225</v>
      </c>
      <c r="D91" s="31" t="s">
        <v>229</v>
      </c>
      <c r="E91" s="31" t="s">
        <v>230</v>
      </c>
      <c r="F91" s="40" t="s">
        <v>140</v>
      </c>
      <c r="G91" s="32"/>
    </row>
    <row r="92" spans="1:7" ht="15" customHeight="1" x14ac:dyDescent="0.35">
      <c r="A92" s="35" t="s">
        <v>231</v>
      </c>
      <c r="B92" s="36" t="s">
        <v>181</v>
      </c>
      <c r="C92" s="31" t="s">
        <v>225</v>
      </c>
      <c r="D92" s="31" t="s">
        <v>232</v>
      </c>
      <c r="E92" s="31" t="s">
        <v>233</v>
      </c>
      <c r="F92" s="40" t="s">
        <v>98</v>
      </c>
      <c r="G92" s="32"/>
    </row>
    <row r="93" spans="1:7" ht="15" customHeight="1" x14ac:dyDescent="0.35">
      <c r="A93" s="35" t="s">
        <v>234</v>
      </c>
      <c r="B93" s="36" t="s">
        <v>235</v>
      </c>
      <c r="C93" s="31" t="s">
        <v>236</v>
      </c>
      <c r="D93" s="31" t="s">
        <v>237</v>
      </c>
      <c r="E93" s="31" t="s">
        <v>238</v>
      </c>
      <c r="F93" s="39" t="s">
        <v>53</v>
      </c>
      <c r="G93" s="32"/>
    </row>
    <row r="94" spans="1:7" ht="15" customHeight="1" x14ac:dyDescent="0.35">
      <c r="A94" s="35" t="s">
        <v>239</v>
      </c>
      <c r="B94" s="36" t="s">
        <v>235</v>
      </c>
      <c r="C94" s="31" t="s">
        <v>236</v>
      </c>
      <c r="D94" s="31" t="s">
        <v>240</v>
      </c>
      <c r="E94" s="31" t="s">
        <v>241</v>
      </c>
      <c r="F94" s="40" t="s">
        <v>128</v>
      </c>
      <c r="G94" s="32"/>
    </row>
    <row r="95" spans="1:7" ht="15" customHeight="1" x14ac:dyDescent="0.35">
      <c r="A95" s="35" t="s">
        <v>242</v>
      </c>
      <c r="B95" s="36" t="s">
        <v>235</v>
      </c>
      <c r="C95" s="31" t="s">
        <v>243</v>
      </c>
      <c r="D95" s="31" t="s">
        <v>244</v>
      </c>
      <c r="E95" s="31" t="s">
        <v>245</v>
      </c>
      <c r="F95" s="39" t="s">
        <v>39</v>
      </c>
      <c r="G95" s="32"/>
    </row>
    <row r="96" spans="1:7" ht="15" customHeight="1" x14ac:dyDescent="0.35">
      <c r="A96" s="35" t="s">
        <v>246</v>
      </c>
      <c r="B96" s="36" t="s">
        <v>235</v>
      </c>
      <c r="C96" s="31" t="s">
        <v>243</v>
      </c>
      <c r="D96" s="31" t="s">
        <v>247</v>
      </c>
      <c r="E96" s="31" t="s">
        <v>248</v>
      </c>
      <c r="F96" s="39" t="s">
        <v>14</v>
      </c>
      <c r="G96" s="32"/>
    </row>
    <row r="97" spans="1:7" ht="15" customHeight="1" x14ac:dyDescent="0.35">
      <c r="A97" s="37" t="s">
        <v>249</v>
      </c>
      <c r="B97" s="38" t="s">
        <v>235</v>
      </c>
      <c r="C97" s="33" t="s">
        <v>250</v>
      </c>
      <c r="D97" s="33" t="s">
        <v>251</v>
      </c>
      <c r="E97" s="33" t="s">
        <v>252</v>
      </c>
      <c r="F97" s="33" t="s">
        <v>58</v>
      </c>
      <c r="G97" s="32"/>
    </row>
    <row r="98" spans="1:7" ht="15" customHeight="1" x14ac:dyDescent="0.35">
      <c r="A98" s="35" t="s">
        <v>253</v>
      </c>
      <c r="B98" s="36" t="s">
        <v>235</v>
      </c>
      <c r="C98" s="31" t="s">
        <v>250</v>
      </c>
      <c r="D98" s="31" t="s">
        <v>254</v>
      </c>
      <c r="E98" s="31" t="s">
        <v>255</v>
      </c>
      <c r="F98" s="39" t="s">
        <v>77</v>
      </c>
      <c r="G98" s="32"/>
    </row>
    <row r="99" spans="1:7" ht="15" customHeight="1" x14ac:dyDescent="0.35">
      <c r="A99" s="35" t="s">
        <v>256</v>
      </c>
      <c r="B99" s="36" t="s">
        <v>235</v>
      </c>
      <c r="C99" s="31" t="s">
        <v>257</v>
      </c>
      <c r="D99" s="31" t="s">
        <v>258</v>
      </c>
      <c r="E99" s="31" t="s">
        <v>259</v>
      </c>
      <c r="F99" s="40" t="s">
        <v>119</v>
      </c>
      <c r="G99" s="32"/>
    </row>
    <row r="100" spans="1:7" ht="15" customHeight="1" x14ac:dyDescent="0.35">
      <c r="A100" s="35" t="s">
        <v>260</v>
      </c>
      <c r="B100" s="36" t="s">
        <v>235</v>
      </c>
      <c r="C100" s="31" t="s">
        <v>257</v>
      </c>
      <c r="D100" s="31" t="s">
        <v>261</v>
      </c>
      <c r="E100" s="31" t="s">
        <v>262</v>
      </c>
      <c r="F100" s="40" t="s">
        <v>122</v>
      </c>
      <c r="G100" s="32"/>
    </row>
    <row r="101" spans="1:7" ht="15" customHeight="1" x14ac:dyDescent="0.35">
      <c r="A101" s="35" t="s">
        <v>263</v>
      </c>
      <c r="B101" s="36" t="s">
        <v>264</v>
      </c>
      <c r="C101" s="31" t="s">
        <v>265</v>
      </c>
      <c r="D101" s="31" t="s">
        <v>266</v>
      </c>
      <c r="E101" s="31" t="s">
        <v>267</v>
      </c>
      <c r="F101" s="40" t="s">
        <v>93</v>
      </c>
      <c r="G101" s="32"/>
    </row>
    <row r="102" spans="1:7" ht="15" customHeight="1" x14ac:dyDescent="0.35">
      <c r="A102" s="35" t="s">
        <v>268</v>
      </c>
      <c r="B102" s="36" t="s">
        <v>264</v>
      </c>
      <c r="C102" s="31" t="s">
        <v>269</v>
      </c>
      <c r="D102" s="31" t="s">
        <v>270</v>
      </c>
      <c r="E102" s="31" t="s">
        <v>271</v>
      </c>
      <c r="F102" s="39" t="s">
        <v>29</v>
      </c>
      <c r="G102" s="32"/>
    </row>
    <row r="103" spans="1:7" ht="15" customHeight="1" x14ac:dyDescent="0.35">
      <c r="A103" s="35" t="s">
        <v>272</v>
      </c>
      <c r="B103" s="36" t="s">
        <v>264</v>
      </c>
      <c r="C103" s="31" t="s">
        <v>273</v>
      </c>
      <c r="D103" s="31" t="s">
        <v>274</v>
      </c>
      <c r="E103" s="31" t="s">
        <v>275</v>
      </c>
      <c r="F103" s="40" t="s">
        <v>140</v>
      </c>
      <c r="G103" s="32"/>
    </row>
    <row r="104" spans="1:7" ht="15" customHeight="1" x14ac:dyDescent="0.35">
      <c r="A104" s="35" t="s">
        <v>276</v>
      </c>
      <c r="B104" s="36" t="s">
        <v>264</v>
      </c>
      <c r="C104" s="31" t="s">
        <v>273</v>
      </c>
      <c r="D104" s="31" t="s">
        <v>277</v>
      </c>
      <c r="E104" s="31" t="s">
        <v>278</v>
      </c>
      <c r="F104" s="40" t="s">
        <v>98</v>
      </c>
      <c r="G104" s="32"/>
    </row>
    <row r="105" spans="1:7" ht="15" customHeight="1" x14ac:dyDescent="0.35">
      <c r="A105" s="37" t="s">
        <v>279</v>
      </c>
      <c r="B105" s="38" t="s">
        <v>280</v>
      </c>
      <c r="C105" s="33" t="s">
        <v>281</v>
      </c>
      <c r="D105" s="33" t="s">
        <v>282</v>
      </c>
      <c r="E105" s="33" t="s">
        <v>283</v>
      </c>
      <c r="F105" s="33" t="s">
        <v>58</v>
      </c>
      <c r="G105" s="32"/>
    </row>
    <row r="106" spans="1:7" ht="15" customHeight="1" x14ac:dyDescent="0.35">
      <c r="A106" s="35" t="s">
        <v>284</v>
      </c>
      <c r="B106" s="36" t="s">
        <v>280</v>
      </c>
      <c r="C106" s="31" t="s">
        <v>285</v>
      </c>
      <c r="D106" s="31" t="s">
        <v>286</v>
      </c>
      <c r="E106" s="31" t="s">
        <v>287</v>
      </c>
      <c r="F106" s="40" t="s">
        <v>119</v>
      </c>
      <c r="G106" s="32"/>
    </row>
    <row r="107" spans="1:7" ht="15" customHeight="1" x14ac:dyDescent="0.35">
      <c r="A107" s="35" t="s">
        <v>288</v>
      </c>
      <c r="B107" s="36" t="s">
        <v>289</v>
      </c>
      <c r="C107" s="31" t="s">
        <v>290</v>
      </c>
      <c r="D107" s="31" t="s">
        <v>291</v>
      </c>
      <c r="E107" s="31" t="s">
        <v>292</v>
      </c>
      <c r="F107" s="40" t="s">
        <v>140</v>
      </c>
      <c r="G107" s="32"/>
    </row>
    <row r="108" spans="1:7" ht="15" customHeight="1" x14ac:dyDescent="0.35">
      <c r="A108" s="35" t="s">
        <v>293</v>
      </c>
      <c r="B108" s="36" t="s">
        <v>294</v>
      </c>
      <c r="C108" s="31" t="s">
        <v>295</v>
      </c>
      <c r="D108" s="31" t="s">
        <v>296</v>
      </c>
      <c r="E108" s="31" t="s">
        <v>297</v>
      </c>
      <c r="F108" s="39" t="s">
        <v>39</v>
      </c>
      <c r="G108" s="32"/>
    </row>
  </sheetData>
  <autoFilter ref="A4:G108" xr:uid="{00000000-0001-0000-0100-000000000000}"/>
  <mergeCells count="2">
    <mergeCell ref="A1:H1"/>
    <mergeCell ref="A2:H2"/>
  </mergeCells>
  <dataValidations count="1">
    <dataValidation type="list" allowBlank="1" showInputMessage="1" showErrorMessage="1" sqref="G5:G108" xr:uid="{829C4AA5-8B83-44D9-8744-81D9D31E28DE}">
      <formula1>$D5:$E5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01D7-5F50-4135-BA68-0EEEB8C37872}">
  <sheetPr>
    <tabColor theme="9"/>
  </sheetPr>
  <dimension ref="B2:G15"/>
  <sheetViews>
    <sheetView showGridLines="0" workbookViewId="0"/>
  </sheetViews>
  <sheetFormatPr defaultRowHeight="14.5" x14ac:dyDescent="0.35"/>
  <cols>
    <col min="2" max="2" width="14.1796875" bestFit="1" customWidth="1"/>
    <col min="3" max="3" width="8.54296875" customWidth="1"/>
    <col min="4" max="4" width="15.54296875" customWidth="1"/>
    <col min="5" max="5" width="18.54296875" bestFit="1" customWidth="1"/>
    <col min="6" max="6" width="20.26953125" customWidth="1"/>
    <col min="7" max="7" width="39.81640625" bestFit="1" customWidth="1"/>
    <col min="8" max="8" width="21.54296875" customWidth="1"/>
  </cols>
  <sheetData>
    <row r="2" spans="2:7" ht="20" x14ac:dyDescent="0.35">
      <c r="B2" s="54" t="s">
        <v>298</v>
      </c>
      <c r="C2" s="54"/>
      <c r="D2" s="54"/>
      <c r="E2" s="54"/>
      <c r="F2" s="54"/>
      <c r="G2" s="54"/>
    </row>
    <row r="4" spans="2:7" x14ac:dyDescent="0.35">
      <c r="B4" t="s">
        <v>299</v>
      </c>
    </row>
    <row r="6" spans="2:7" x14ac:dyDescent="0.35">
      <c r="B6" s="53" t="s">
        <v>300</v>
      </c>
      <c r="C6" s="53"/>
      <c r="D6" s="53"/>
      <c r="E6" s="53"/>
      <c r="F6" s="53"/>
      <c r="G6" s="53"/>
    </row>
    <row r="7" spans="2:7" x14ac:dyDescent="0.35">
      <c r="B7" s="24" t="s">
        <v>301</v>
      </c>
      <c r="C7" s="24" t="s">
        <v>4</v>
      </c>
      <c r="D7" s="24" t="s">
        <v>2</v>
      </c>
      <c r="E7" s="24" t="s">
        <v>302</v>
      </c>
      <c r="F7" s="24" t="s">
        <v>303</v>
      </c>
      <c r="G7" s="24" t="s">
        <v>304</v>
      </c>
    </row>
    <row r="8" spans="2:7" x14ac:dyDescent="0.35">
      <c r="B8" s="28" t="s">
        <v>305</v>
      </c>
      <c r="C8" s="28" t="s">
        <v>50</v>
      </c>
      <c r="D8" s="28" t="s">
        <v>306</v>
      </c>
      <c r="E8" s="28" t="s">
        <v>307</v>
      </c>
      <c r="F8" s="28"/>
      <c r="G8" s="25"/>
    </row>
    <row r="9" spans="2:7" x14ac:dyDescent="0.35">
      <c r="B9" s="28" t="s">
        <v>305</v>
      </c>
      <c r="C9" s="28" t="s">
        <v>104</v>
      </c>
      <c r="D9" s="28" t="s">
        <v>308</v>
      </c>
      <c r="E9" s="28" t="s">
        <v>309</v>
      </c>
      <c r="F9" s="28"/>
      <c r="G9" s="25" t="s">
        <v>310</v>
      </c>
    </row>
    <row r="10" spans="2:7" x14ac:dyDescent="0.35">
      <c r="B10" s="28" t="s">
        <v>305</v>
      </c>
      <c r="C10" s="28" t="s">
        <v>143</v>
      </c>
      <c r="D10" s="28" t="s">
        <v>311</v>
      </c>
      <c r="E10" s="28" t="s">
        <v>312</v>
      </c>
      <c r="F10" s="28"/>
      <c r="G10" s="25" t="s">
        <v>313</v>
      </c>
    </row>
    <row r="11" spans="2:7" x14ac:dyDescent="0.35">
      <c r="B11" s="28" t="s">
        <v>305</v>
      </c>
      <c r="C11" s="28" t="s">
        <v>174</v>
      </c>
      <c r="D11" s="28" t="s">
        <v>314</v>
      </c>
      <c r="E11" s="28" t="s">
        <v>315</v>
      </c>
      <c r="F11" s="28"/>
      <c r="G11" s="25"/>
    </row>
    <row r="12" spans="2:7" x14ac:dyDescent="0.35">
      <c r="B12" s="29" t="s">
        <v>316</v>
      </c>
      <c r="C12" s="29" t="s">
        <v>196</v>
      </c>
      <c r="D12" s="29" t="s">
        <v>317</v>
      </c>
      <c r="E12" s="29" t="s">
        <v>318</v>
      </c>
      <c r="F12" s="29"/>
      <c r="G12" s="26" t="s">
        <v>319</v>
      </c>
    </row>
    <row r="13" spans="2:7" x14ac:dyDescent="0.35">
      <c r="B13" s="29" t="s">
        <v>316</v>
      </c>
      <c r="C13" s="29" t="s">
        <v>320</v>
      </c>
      <c r="D13" s="29" t="s">
        <v>321</v>
      </c>
      <c r="E13" s="29" t="s">
        <v>322</v>
      </c>
      <c r="F13" s="29"/>
      <c r="G13" s="26" t="s">
        <v>323</v>
      </c>
    </row>
    <row r="14" spans="2:7" x14ac:dyDescent="0.35">
      <c r="B14" s="30" t="s">
        <v>324</v>
      </c>
      <c r="C14" s="30" t="s">
        <v>325</v>
      </c>
      <c r="D14" s="30" t="s">
        <v>326</v>
      </c>
      <c r="E14" s="30" t="s">
        <v>327</v>
      </c>
      <c r="F14" s="30"/>
      <c r="G14" s="27" t="s">
        <v>328</v>
      </c>
    </row>
    <row r="15" spans="2:7" x14ac:dyDescent="0.35">
      <c r="B15" s="28" t="s">
        <v>305</v>
      </c>
      <c r="C15" s="28" t="s">
        <v>281</v>
      </c>
      <c r="D15" s="28" t="s">
        <v>329</v>
      </c>
      <c r="E15" s="28" t="s">
        <v>330</v>
      </c>
      <c r="F15" s="28"/>
      <c r="G15" s="25" t="s">
        <v>331</v>
      </c>
    </row>
  </sheetData>
  <mergeCells count="2">
    <mergeCell ref="B6:G6"/>
    <mergeCell ref="B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50"/>
  <sheetViews>
    <sheetView showGridLines="0" zoomScale="110" zoomScaleNormal="110" workbookViewId="0">
      <selection activeCell="A49" sqref="A49:F49"/>
    </sheetView>
  </sheetViews>
  <sheetFormatPr defaultColWidth="8.54296875" defaultRowHeight="14.5" x14ac:dyDescent="0.35"/>
  <cols>
    <col min="1" max="1" width="4" customWidth="1"/>
    <col min="2" max="2" width="16" customWidth="1"/>
    <col min="3" max="3" width="8" customWidth="1"/>
    <col min="4" max="4" width="16" customWidth="1"/>
    <col min="5" max="5" width="8" customWidth="1"/>
    <col min="6" max="6" width="13.26953125" customWidth="1"/>
  </cols>
  <sheetData>
    <row r="1" spans="1:6" ht="19.5" customHeight="1" x14ac:dyDescent="0.35">
      <c r="A1" s="55" t="s">
        <v>332</v>
      </c>
      <c r="B1" s="55"/>
      <c r="C1" s="55"/>
      <c r="D1" s="55"/>
      <c r="E1" s="55"/>
      <c r="F1" s="55"/>
    </row>
    <row r="2" spans="1:6" ht="15" customHeight="1" x14ac:dyDescent="0.35">
      <c r="A2" s="52" t="s">
        <v>333</v>
      </c>
      <c r="B2" s="52"/>
      <c r="C2" s="52"/>
      <c r="D2" s="52"/>
      <c r="E2" s="52"/>
      <c r="F2" s="52"/>
    </row>
    <row r="4" spans="1:6" ht="15" customHeight="1" x14ac:dyDescent="0.35">
      <c r="A4" s="56" t="s">
        <v>334</v>
      </c>
      <c r="B4" s="56"/>
      <c r="C4" s="56"/>
      <c r="D4" s="56"/>
      <c r="E4" s="56"/>
      <c r="F4" s="56"/>
    </row>
    <row r="5" spans="1:6" ht="15" customHeight="1" x14ac:dyDescent="0.35">
      <c r="A5" s="21" t="s">
        <v>335</v>
      </c>
      <c r="B5" s="21" t="s">
        <v>5</v>
      </c>
      <c r="C5" s="21" t="s">
        <v>336</v>
      </c>
      <c r="D5" s="21" t="s">
        <v>6</v>
      </c>
      <c r="E5" s="21" t="s">
        <v>336</v>
      </c>
      <c r="F5" s="21" t="s">
        <v>337</v>
      </c>
    </row>
    <row r="6" spans="1:6" ht="15" customHeight="1" x14ac:dyDescent="0.35">
      <c r="A6" s="7">
        <v>1</v>
      </c>
      <c r="B6" s="14" t="str">
        <f>'M78'!B35</f>
        <v>Ecuador</v>
      </c>
      <c r="C6" s="22">
        <f>'M78'!C35</f>
        <v>0.35314348946521057</v>
      </c>
      <c r="D6" s="14" t="str">
        <f>'M78'!D35</f>
        <v>Norway</v>
      </c>
      <c r="E6" s="22">
        <f>'M78'!E35</f>
        <v>0.3119798400423579</v>
      </c>
      <c r="F6" s="48">
        <f>'M78'!F35</f>
        <v>0.11017364935535649</v>
      </c>
    </row>
    <row r="7" spans="1:6" ht="15" customHeight="1" x14ac:dyDescent="0.35">
      <c r="A7" s="7">
        <v>2</v>
      </c>
      <c r="B7" s="14" t="str">
        <f>'M78'!B36</f>
        <v>Ecuador</v>
      </c>
      <c r="C7" s="22">
        <f>'M78'!C36</f>
        <v>0.35314348946521057</v>
      </c>
      <c r="D7" s="14" t="str">
        <f>'M78'!D36</f>
        <v>France</v>
      </c>
      <c r="E7" s="22">
        <f>'M78'!E36</f>
        <v>0.23272701110068983</v>
      </c>
      <c r="F7" s="48">
        <f>'M78'!F36</f>
        <v>8.2186028792906402E-2</v>
      </c>
    </row>
    <row r="8" spans="1:6" ht="15" customHeight="1" x14ac:dyDescent="0.35">
      <c r="A8" s="7">
        <v>3</v>
      </c>
      <c r="B8" s="14" t="str">
        <f>'M78'!B37</f>
        <v>Germany</v>
      </c>
      <c r="C8" s="22">
        <f>'M78'!C37</f>
        <v>0.25066506582880882</v>
      </c>
      <c r="D8" s="14" t="str">
        <f>'M78'!D37</f>
        <v>Norway</v>
      </c>
      <c r="E8" s="22">
        <f>'M78'!E37</f>
        <v>0.3119798400423579</v>
      </c>
      <c r="F8" s="48">
        <f>'M78'!F37</f>
        <v>7.8202447141478892E-2</v>
      </c>
    </row>
    <row r="10" spans="1:6" ht="15" hidden="1" customHeight="1" x14ac:dyDescent="0.35">
      <c r="A10" s="57" t="s">
        <v>338</v>
      </c>
      <c r="B10" s="57"/>
      <c r="C10" s="57"/>
      <c r="D10" s="57"/>
      <c r="E10" s="57"/>
      <c r="F10" s="57"/>
    </row>
    <row r="11" spans="1:6" ht="15" hidden="1" customHeight="1" x14ac:dyDescent="0.35">
      <c r="A11" s="21" t="s">
        <v>335</v>
      </c>
      <c r="B11" s="21" t="s">
        <v>5</v>
      </c>
      <c r="C11" s="21" t="s">
        <v>336</v>
      </c>
      <c r="D11" s="21" t="s">
        <v>6</v>
      </c>
      <c r="E11" s="21" t="s">
        <v>336</v>
      </c>
      <c r="F11" s="21" t="s">
        <v>337</v>
      </c>
    </row>
    <row r="12" spans="1:6" ht="15" hidden="1" customHeight="1" x14ac:dyDescent="0.35">
      <c r="A12" s="7">
        <v>1</v>
      </c>
      <c r="B12" s="14" t="str">
        <f>'M83'!B35</f>
        <v>Colombia</v>
      </c>
      <c r="C12" s="22">
        <f>'M83'!C35</f>
        <v>0.36151025727742897</v>
      </c>
      <c r="D12" s="14" t="str">
        <f>'M83'!D35</f>
        <v>Croatia</v>
      </c>
      <c r="E12" s="22">
        <f>'M83'!E35</f>
        <v>0.25622663781231553</v>
      </c>
      <c r="F12" s="48">
        <f>'M83'!F35</f>
        <v>9.2628557756860797E-2</v>
      </c>
    </row>
    <row r="13" spans="1:6" ht="15" hidden="1" customHeight="1" x14ac:dyDescent="0.35">
      <c r="A13" s="7">
        <v>2</v>
      </c>
      <c r="B13" s="14" t="str">
        <f>'M83'!B36</f>
        <v>Colombia</v>
      </c>
      <c r="C13" s="22">
        <f>'M83'!C36</f>
        <v>0.36151025727742897</v>
      </c>
      <c r="D13" s="14" t="str">
        <f>'M83'!D36</f>
        <v>England</v>
      </c>
      <c r="E13" s="22">
        <f>'M83'!E36</f>
        <v>0.23809780557502552</v>
      </c>
      <c r="F13" s="48">
        <f>'M83'!F36</f>
        <v>8.6074798950618744E-2</v>
      </c>
    </row>
    <row r="14" spans="1:6" ht="15" hidden="1" customHeight="1" x14ac:dyDescent="0.35">
      <c r="A14" s="7">
        <v>3</v>
      </c>
      <c r="B14" s="14" t="str">
        <f>'M83'!B37</f>
        <v>Portugal</v>
      </c>
      <c r="C14" s="22">
        <f>'M83'!C37</f>
        <v>0.22530288574888424</v>
      </c>
      <c r="D14" s="14" t="str">
        <f>'M83'!D37</f>
        <v>Croatia</v>
      </c>
      <c r="E14" s="22">
        <f>'M83'!E37</f>
        <v>0.25622663781231553</v>
      </c>
      <c r="F14" s="48">
        <f>'M83'!F37</f>
        <v>5.7728600904848867E-2</v>
      </c>
    </row>
    <row r="15" spans="1:6" hidden="1" x14ac:dyDescent="0.35"/>
    <row r="16" spans="1:6" ht="15" hidden="1" customHeight="1" x14ac:dyDescent="0.35">
      <c r="A16" s="57" t="s">
        <v>339</v>
      </c>
      <c r="B16" s="57"/>
      <c r="C16" s="57"/>
      <c r="D16" s="57"/>
      <c r="E16" s="57"/>
      <c r="F16" s="57"/>
    </row>
    <row r="17" spans="1:6" ht="15" hidden="1" customHeight="1" x14ac:dyDescent="0.35">
      <c r="A17" s="21" t="s">
        <v>335</v>
      </c>
      <c r="B17" s="21" t="s">
        <v>5</v>
      </c>
      <c r="C17" s="21" t="s">
        <v>336</v>
      </c>
      <c r="D17" s="21" t="s">
        <v>6</v>
      </c>
      <c r="E17" s="21" t="s">
        <v>336</v>
      </c>
      <c r="F17" s="21" t="s">
        <v>337</v>
      </c>
    </row>
    <row r="18" spans="1:6" ht="15" hidden="1" customHeight="1" x14ac:dyDescent="0.35">
      <c r="A18" s="7">
        <v>1</v>
      </c>
      <c r="B18" s="14" t="str">
        <f>'M84'!B35</f>
        <v>Spain</v>
      </c>
      <c r="C18" s="22">
        <f>'M84'!C35</f>
        <v>0.77450980392156865</v>
      </c>
      <c r="D18" s="14" t="str">
        <f>'M84'!D35</f>
        <v>Austria</v>
      </c>
      <c r="E18" s="22">
        <f>'M84'!E35</f>
        <v>0.2700058172335344</v>
      </c>
      <c r="F18" s="23">
        <f>'M84'!F35</f>
        <v>0.20912215256322764</v>
      </c>
    </row>
    <row r="19" spans="1:6" ht="15" hidden="1" customHeight="1" x14ac:dyDescent="0.35">
      <c r="A19" s="7">
        <v>2</v>
      </c>
      <c r="B19" s="14" t="str">
        <f>'M84'!B36</f>
        <v>Spain</v>
      </c>
      <c r="C19" s="22">
        <f>'M84'!C36</f>
        <v>0.77450980392156865</v>
      </c>
      <c r="D19" s="14" t="str">
        <f>'M84'!D36</f>
        <v>Argentina</v>
      </c>
      <c r="E19" s="22">
        <f>'M84'!E36</f>
        <v>0.2560072896865449</v>
      </c>
      <c r="F19" s="23">
        <f>'M84'!F36</f>
        <v>0.19828015573761812</v>
      </c>
    </row>
    <row r="20" spans="1:6" ht="15" hidden="1" customHeight="1" x14ac:dyDescent="0.35">
      <c r="A20" s="7">
        <v>3</v>
      </c>
      <c r="B20" s="14" t="str">
        <f>'M84'!B37</f>
        <v>Spain</v>
      </c>
      <c r="C20" s="22">
        <f>'M84'!C37</f>
        <v>0.77450980392156865</v>
      </c>
      <c r="D20" s="14" t="str">
        <f>'M84'!D37</f>
        <v>Algeria</v>
      </c>
      <c r="E20" s="22">
        <f>'M84'!E37</f>
        <v>0.18031344790839449</v>
      </c>
      <c r="F20" s="23">
        <f>'M84'!F37</f>
        <v>0.1396545331839526</v>
      </c>
    </row>
    <row r="22" spans="1:6" ht="15" customHeight="1" x14ac:dyDescent="0.35">
      <c r="A22" s="56" t="s">
        <v>340</v>
      </c>
      <c r="B22" s="56"/>
      <c r="C22" s="56"/>
      <c r="D22" s="56"/>
      <c r="E22" s="56"/>
      <c r="F22" s="56"/>
    </row>
    <row r="23" spans="1:6" ht="15" customHeight="1" x14ac:dyDescent="0.35">
      <c r="A23" s="21" t="s">
        <v>335</v>
      </c>
      <c r="B23" s="21" t="s">
        <v>5</v>
      </c>
      <c r="C23" s="21" t="s">
        <v>336</v>
      </c>
      <c r="D23" s="21" t="s">
        <v>6</v>
      </c>
      <c r="E23" s="21" t="s">
        <v>336</v>
      </c>
      <c r="F23" s="21" t="s">
        <v>337</v>
      </c>
    </row>
    <row r="24" spans="1:6" ht="15" customHeight="1" x14ac:dyDescent="0.35">
      <c r="A24" s="7">
        <v>1</v>
      </c>
      <c r="B24" s="14" t="str">
        <f>'M88'!B35</f>
        <v>United States</v>
      </c>
      <c r="C24" s="22">
        <f>'M88'!C35</f>
        <v>0.29833886231312962</v>
      </c>
      <c r="D24" s="14" t="str">
        <f>'M88'!D35</f>
        <v>Belgium</v>
      </c>
      <c r="E24" s="22">
        <f>'M88'!E35</f>
        <v>0.23881651412015792</v>
      </c>
      <c r="F24" s="48">
        <f>'M88'!F35</f>
        <v>7.1248247124195363E-2</v>
      </c>
    </row>
    <row r="25" spans="1:6" ht="15" customHeight="1" x14ac:dyDescent="0.35">
      <c r="A25" s="7">
        <v>2</v>
      </c>
      <c r="B25" s="14" t="str">
        <f>'M88'!B36</f>
        <v>United States</v>
      </c>
      <c r="C25" s="22">
        <f>'M88'!C36</f>
        <v>0.29833886231312962</v>
      </c>
      <c r="D25" s="14" t="str">
        <f>'M88'!D36</f>
        <v>Egypt</v>
      </c>
      <c r="E25" s="22">
        <f>'M88'!E36</f>
        <v>0.19859442303332575</v>
      </c>
      <c r="F25" s="48">
        <f>'M88'!F36</f>
        <v>5.9248434229494787E-2</v>
      </c>
    </row>
    <row r="26" spans="1:6" ht="15" customHeight="1" x14ac:dyDescent="0.35">
      <c r="A26" s="7">
        <v>3</v>
      </c>
      <c r="B26" s="14" t="str">
        <f>'M88'!B37</f>
        <v>Paraguay</v>
      </c>
      <c r="C26" s="22">
        <f>'M88'!C37</f>
        <v>0.22298972255304128</v>
      </c>
      <c r="D26" s="14" t="str">
        <f>'M88'!D37</f>
        <v>Belgium</v>
      </c>
      <c r="E26" s="22">
        <f>'M88'!E37</f>
        <v>0.23881651412015792</v>
      </c>
      <c r="F26" s="48">
        <f>'M88'!F37</f>
        <v>5.3253628224738482E-2</v>
      </c>
    </row>
    <row r="28" spans="1:6" ht="15" customHeight="1" x14ac:dyDescent="0.35">
      <c r="A28" s="56" t="s">
        <v>341</v>
      </c>
      <c r="B28" s="56"/>
      <c r="C28" s="56"/>
      <c r="D28" s="56"/>
      <c r="E28" s="56"/>
      <c r="F28" s="56"/>
    </row>
    <row r="29" spans="1:6" ht="15" customHeight="1" x14ac:dyDescent="0.35">
      <c r="A29" s="21" t="s">
        <v>335</v>
      </c>
      <c r="B29" s="21" t="s">
        <v>5</v>
      </c>
      <c r="C29" s="21" t="s">
        <v>336</v>
      </c>
      <c r="D29" s="21" t="s">
        <v>6</v>
      </c>
      <c r="E29" s="21" t="s">
        <v>336</v>
      </c>
      <c r="F29" s="21" t="s">
        <v>337</v>
      </c>
    </row>
    <row r="30" spans="1:6" ht="15" customHeight="1" x14ac:dyDescent="0.35">
      <c r="A30" s="7">
        <v>1</v>
      </c>
      <c r="B30" s="14" t="str">
        <f>'M93'!B87</f>
        <v>Colombia</v>
      </c>
      <c r="C30" s="22">
        <f>'M93'!C87</f>
        <v>0.19883064150258595</v>
      </c>
      <c r="D30" s="14" t="str">
        <f>'M93'!D87</f>
        <v>Spain</v>
      </c>
      <c r="E30" s="22">
        <f>'M93'!E87</f>
        <v>0.34852941176470587</v>
      </c>
      <c r="F30" s="48">
        <f>'M93'!F87</f>
        <v>6.92983265236954E-2</v>
      </c>
    </row>
    <row r="31" spans="1:6" ht="15" customHeight="1" x14ac:dyDescent="0.35">
      <c r="A31" s="7">
        <v>2</v>
      </c>
      <c r="B31" s="14" t="str">
        <f>'M93'!B88</f>
        <v>Croatia</v>
      </c>
      <c r="C31" s="22">
        <f>'M93'!C88</f>
        <v>0.14092465079677352</v>
      </c>
      <c r="D31" s="14" t="str">
        <f>'M93'!D88</f>
        <v>Spain</v>
      </c>
      <c r="E31" s="22">
        <f>'M93'!E88</f>
        <v>0.34852941176470587</v>
      </c>
      <c r="F31" s="48">
        <f>'M93'!F88</f>
        <v>4.911638564534606E-2</v>
      </c>
    </row>
    <row r="32" spans="1:6" ht="15" customHeight="1" x14ac:dyDescent="0.35">
      <c r="A32" s="7">
        <v>3</v>
      </c>
      <c r="B32" s="14" t="str">
        <f>'M93'!B89</f>
        <v>England</v>
      </c>
      <c r="C32" s="22">
        <f>'M93'!C89</f>
        <v>0.13095379306626403</v>
      </c>
      <c r="D32" s="14" t="str">
        <f>'M93'!D89</f>
        <v>Spain</v>
      </c>
      <c r="E32" s="22">
        <f>'M93'!E89</f>
        <v>0.34852941176470587</v>
      </c>
      <c r="F32" s="48">
        <f>'M93'!F89</f>
        <v>4.5641248465742024E-2</v>
      </c>
    </row>
    <row r="34" spans="1:6" ht="15" customHeight="1" x14ac:dyDescent="0.35">
      <c r="A34" s="56" t="s">
        <v>342</v>
      </c>
      <c r="B34" s="56"/>
      <c r="C34" s="56"/>
      <c r="D34" s="56"/>
      <c r="E34" s="56"/>
      <c r="F34" s="56"/>
    </row>
    <row r="35" spans="1:6" ht="15" customHeight="1" x14ac:dyDescent="0.35">
      <c r="A35" s="21" t="s">
        <v>335</v>
      </c>
      <c r="B35" s="21" t="s">
        <v>5</v>
      </c>
      <c r="C35" s="21" t="s">
        <v>336</v>
      </c>
      <c r="D35" s="21" t="s">
        <v>6</v>
      </c>
      <c r="E35" s="21" t="s">
        <v>336</v>
      </c>
      <c r="F35" s="21" t="s">
        <v>337</v>
      </c>
    </row>
    <row r="36" spans="1:6" ht="15" customHeight="1" x14ac:dyDescent="0.35">
      <c r="A36" s="7">
        <v>1</v>
      </c>
      <c r="B36" s="14" t="str">
        <f>'M101'!B19</f>
        <v>Argentina</v>
      </c>
      <c r="C36" s="22">
        <f>'M101'!C19</f>
        <v>0.20800000000000002</v>
      </c>
      <c r="D36" s="14" t="str">
        <f>'M101'!D19</f>
        <v>Spain</v>
      </c>
      <c r="E36" s="22">
        <f>'M101'!E19</f>
        <v>0.318</v>
      </c>
      <c r="F36" s="48">
        <f>'M101'!F19</f>
        <v>6.6144000000000008E-2</v>
      </c>
    </row>
    <row r="37" spans="1:6" ht="15" customHeight="1" x14ac:dyDescent="0.35">
      <c r="A37" s="7">
        <v>2</v>
      </c>
      <c r="B37" s="14" t="str">
        <f>'M101'!B20</f>
        <v>Argentina</v>
      </c>
      <c r="C37" s="22">
        <f>'M101'!C20</f>
        <v>0.20800000000000002</v>
      </c>
      <c r="D37" s="14" t="str">
        <f>'M101'!D20</f>
        <v>England</v>
      </c>
      <c r="E37" s="22">
        <f>'M101'!E20</f>
        <v>0.26</v>
      </c>
      <c r="F37" s="48">
        <f>'M101'!F20</f>
        <v>5.408000000000001E-2</v>
      </c>
    </row>
    <row r="38" spans="1:6" ht="15" customHeight="1" x14ac:dyDescent="0.35">
      <c r="A38" s="7">
        <v>3</v>
      </c>
      <c r="B38" s="14" t="str">
        <f>'M101'!B21</f>
        <v>Spain</v>
      </c>
      <c r="C38" s="22">
        <f>'M101'!C21</f>
        <v>0.318</v>
      </c>
      <c r="D38" s="14" t="str">
        <f>'M101'!D21</f>
        <v>England</v>
      </c>
      <c r="E38" s="22">
        <f>'M101'!E21</f>
        <v>0.26</v>
      </c>
      <c r="F38" s="48">
        <f>'M101'!F21</f>
        <v>8.2680000000000003E-2</v>
      </c>
    </row>
    <row r="41" spans="1:6" ht="15" customHeight="1" x14ac:dyDescent="0.35">
      <c r="A41" s="58" t="s">
        <v>343</v>
      </c>
      <c r="B41" s="58"/>
      <c r="C41" s="58"/>
      <c r="D41" s="58"/>
      <c r="E41" s="58"/>
      <c r="F41" s="58"/>
    </row>
    <row r="42" spans="1:6" ht="15" customHeight="1" x14ac:dyDescent="0.35">
      <c r="A42" s="59" t="s">
        <v>344</v>
      </c>
      <c r="B42" s="59"/>
      <c r="C42" s="59"/>
      <c r="D42" s="59"/>
      <c r="E42" s="59"/>
      <c r="F42" s="59"/>
    </row>
    <row r="43" spans="1:6" ht="15" customHeight="1" x14ac:dyDescent="0.35">
      <c r="A43" s="59" t="s">
        <v>345</v>
      </c>
      <c r="B43" s="59"/>
      <c r="C43" s="59"/>
      <c r="D43" s="59"/>
      <c r="E43" s="59"/>
      <c r="F43" s="59"/>
    </row>
    <row r="44" spans="1:6" ht="15" customHeight="1" x14ac:dyDescent="0.35">
      <c r="A44" s="59" t="s">
        <v>346</v>
      </c>
      <c r="B44" s="59"/>
      <c r="C44" s="59"/>
      <c r="D44" s="59"/>
      <c r="E44" s="59"/>
      <c r="F44" s="59"/>
    </row>
    <row r="46" spans="1:6" ht="15" customHeight="1" x14ac:dyDescent="0.35">
      <c r="A46" s="61" t="s">
        <v>347</v>
      </c>
      <c r="B46" s="61"/>
      <c r="C46" s="61"/>
      <c r="D46" s="61"/>
      <c r="E46" s="61"/>
      <c r="F46" s="61"/>
    </row>
    <row r="47" spans="1:6" ht="15" customHeight="1" x14ac:dyDescent="0.35">
      <c r="A47" s="60" t="s">
        <v>348</v>
      </c>
      <c r="B47" s="60"/>
      <c r="C47" s="60"/>
      <c r="D47" s="60"/>
      <c r="E47" s="60"/>
      <c r="F47" s="60"/>
    </row>
    <row r="48" spans="1:6" ht="15" customHeight="1" x14ac:dyDescent="0.35">
      <c r="A48" s="60" t="s">
        <v>349</v>
      </c>
      <c r="B48" s="60"/>
      <c r="C48" s="60"/>
      <c r="D48" s="60"/>
      <c r="E48" s="60"/>
      <c r="F48" s="60"/>
    </row>
    <row r="49" spans="1:6" ht="15" customHeight="1" x14ac:dyDescent="0.35">
      <c r="A49" s="60" t="s">
        <v>350</v>
      </c>
      <c r="B49" s="60"/>
      <c r="C49" s="60"/>
      <c r="D49" s="60"/>
      <c r="E49" s="60"/>
      <c r="F49" s="60"/>
    </row>
    <row r="50" spans="1:6" ht="15" customHeight="1" x14ac:dyDescent="0.35">
      <c r="A50" s="60" t="s">
        <v>351</v>
      </c>
      <c r="B50" s="60"/>
      <c r="C50" s="60"/>
      <c r="D50" s="60"/>
      <c r="E50" s="60"/>
      <c r="F50" s="60"/>
    </row>
  </sheetData>
  <mergeCells count="17">
    <mergeCell ref="A49:F49"/>
    <mergeCell ref="A50:F50"/>
    <mergeCell ref="A43:F43"/>
    <mergeCell ref="A44:F44"/>
    <mergeCell ref="A46:F46"/>
    <mergeCell ref="A47:F47"/>
    <mergeCell ref="A48:F48"/>
    <mergeCell ref="A22:F22"/>
    <mergeCell ref="A28:F28"/>
    <mergeCell ref="A34:F34"/>
    <mergeCell ref="A41:F41"/>
    <mergeCell ref="A42:F42"/>
    <mergeCell ref="A1:F1"/>
    <mergeCell ref="A2:F2"/>
    <mergeCell ref="A4:F4"/>
    <mergeCell ref="A10:F10"/>
    <mergeCell ref="A16:F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showGridLines="0" zoomScaleNormal="100" workbookViewId="0">
      <selection activeCell="D98" sqref="D98"/>
    </sheetView>
  </sheetViews>
  <sheetFormatPr defaultColWidth="8.54296875" defaultRowHeight="14.5" x14ac:dyDescent="0.35"/>
  <cols>
    <col min="1" max="1" width="15.81640625" customWidth="1"/>
    <col min="2" max="3" width="16" customWidth="1"/>
    <col min="4" max="4" width="10" customWidth="1"/>
    <col min="5" max="5" width="26.81640625" customWidth="1"/>
    <col min="6" max="6" width="10" customWidth="1"/>
  </cols>
  <sheetData>
    <row r="1" spans="1:7" ht="17.25" customHeight="1" x14ac:dyDescent="0.35">
      <c r="A1" s="63" t="s">
        <v>352</v>
      </c>
      <c r="B1" s="63"/>
      <c r="C1" s="63"/>
      <c r="D1" s="63"/>
      <c r="E1" s="63"/>
      <c r="F1" s="63"/>
      <c r="G1" s="63"/>
    </row>
    <row r="2" spans="1:7" ht="15" customHeight="1" x14ac:dyDescent="0.35">
      <c r="A2" s="52" t="s">
        <v>353</v>
      </c>
      <c r="B2" s="52"/>
      <c r="C2" s="52"/>
      <c r="D2" s="52"/>
      <c r="E2" s="52"/>
      <c r="F2" s="52"/>
      <c r="G2" s="52"/>
    </row>
    <row r="4" spans="1:7" ht="15" customHeight="1" x14ac:dyDescent="0.35">
      <c r="A4" s="64" t="s">
        <v>354</v>
      </c>
      <c r="B4" s="64"/>
      <c r="C4" s="64"/>
      <c r="D4" s="64"/>
    </row>
    <row r="5" spans="1:7" ht="15" customHeight="1" x14ac:dyDescent="0.35">
      <c r="A5" s="1" t="s">
        <v>355</v>
      </c>
      <c r="B5" s="1" t="s">
        <v>356</v>
      </c>
      <c r="C5" s="1" t="s">
        <v>357</v>
      </c>
      <c r="D5" s="1" t="s">
        <v>358</v>
      </c>
    </row>
    <row r="6" spans="1:7" ht="15" customHeight="1" x14ac:dyDescent="0.35">
      <c r="A6" s="2" t="s">
        <v>359</v>
      </c>
      <c r="B6" s="3" t="s">
        <v>27</v>
      </c>
      <c r="C6" s="4">
        <v>47</v>
      </c>
      <c r="D6" s="42">
        <f>C6/SUM($C$6:$C$9)*100</f>
        <v>43.518518518518519</v>
      </c>
    </row>
    <row r="7" spans="1:7" ht="15" customHeight="1" x14ac:dyDescent="0.35">
      <c r="A7" s="2" t="s">
        <v>359</v>
      </c>
      <c r="B7" s="3" t="s">
        <v>28</v>
      </c>
      <c r="C7" s="4">
        <v>23</v>
      </c>
      <c r="D7" s="42">
        <f t="shared" ref="D7:D9" si="0">C7/SUM($C$6:$C$9)*100</f>
        <v>21.296296296296298</v>
      </c>
    </row>
    <row r="8" spans="1:7" ht="15" customHeight="1" x14ac:dyDescent="0.35">
      <c r="A8" s="2" t="s">
        <v>359</v>
      </c>
      <c r="B8" s="3" t="s">
        <v>45</v>
      </c>
      <c r="C8" s="4">
        <v>15</v>
      </c>
      <c r="D8" s="42">
        <f t="shared" si="0"/>
        <v>13.888888888888889</v>
      </c>
    </row>
    <row r="9" spans="1:7" ht="15" customHeight="1" x14ac:dyDescent="0.35">
      <c r="A9" s="2" t="s">
        <v>359</v>
      </c>
      <c r="B9" s="3" t="s">
        <v>360</v>
      </c>
      <c r="C9" s="4">
        <v>23</v>
      </c>
      <c r="D9" s="42">
        <f t="shared" si="0"/>
        <v>21.296296296296298</v>
      </c>
    </row>
    <row r="11" spans="1:7" ht="15" customHeight="1" x14ac:dyDescent="0.35">
      <c r="A11" s="2" t="s">
        <v>361</v>
      </c>
      <c r="B11" s="3" t="s">
        <v>51</v>
      </c>
      <c r="C11" s="4">
        <v>66</v>
      </c>
      <c r="D11" s="42">
        <f>C11/SUM($C$11:$C$14)*100</f>
        <v>69.473684210526315</v>
      </c>
    </row>
    <row r="12" spans="1:7" ht="15" customHeight="1" x14ac:dyDescent="0.35">
      <c r="A12" s="2" t="s">
        <v>361</v>
      </c>
      <c r="B12" s="3" t="s">
        <v>61</v>
      </c>
      <c r="C12" s="4">
        <v>18</v>
      </c>
      <c r="D12" s="42">
        <f t="shared" ref="D12:D14" si="1">C12/SUM($C$11:$C$14)*100</f>
        <v>18.947368421052634</v>
      </c>
    </row>
    <row r="13" spans="1:7" ht="15" customHeight="1" x14ac:dyDescent="0.35">
      <c r="A13" s="2" t="s">
        <v>361</v>
      </c>
      <c r="B13" s="3" t="s">
        <v>60</v>
      </c>
      <c r="C13" s="4">
        <v>10</v>
      </c>
      <c r="D13" s="42">
        <f t="shared" si="1"/>
        <v>10.526315789473683</v>
      </c>
    </row>
    <row r="14" spans="1:7" ht="15" customHeight="1" x14ac:dyDescent="0.35">
      <c r="A14" s="2" t="s">
        <v>361</v>
      </c>
      <c r="B14" s="3" t="s">
        <v>52</v>
      </c>
      <c r="C14" s="4">
        <v>1</v>
      </c>
      <c r="D14" s="42">
        <f t="shared" si="1"/>
        <v>1.0526315789473684</v>
      </c>
    </row>
    <row r="16" spans="1:7" ht="15" customHeight="1" x14ac:dyDescent="0.35">
      <c r="A16" s="2" t="s">
        <v>362</v>
      </c>
      <c r="B16" s="3" t="s">
        <v>75</v>
      </c>
      <c r="C16" s="4">
        <v>68</v>
      </c>
      <c r="D16" s="42">
        <f>C16/SUM($C$16:$C$19)*100</f>
        <v>68.686868686868678</v>
      </c>
    </row>
    <row r="17" spans="1:4" ht="15" customHeight="1" x14ac:dyDescent="0.35">
      <c r="A17" s="2" t="s">
        <v>362</v>
      </c>
      <c r="B17" s="3" t="s">
        <v>76</v>
      </c>
      <c r="C17" s="4">
        <v>18</v>
      </c>
      <c r="D17" s="42">
        <f t="shared" ref="D17:D19" si="2">C17/SUM($C$16:$C$19)*100</f>
        <v>18.181818181818183</v>
      </c>
    </row>
    <row r="18" spans="1:4" ht="15" customHeight="1" x14ac:dyDescent="0.35">
      <c r="A18" s="2" t="s">
        <v>362</v>
      </c>
      <c r="B18" s="3" t="s">
        <v>83</v>
      </c>
      <c r="C18" s="4">
        <v>8</v>
      </c>
      <c r="D18" s="42">
        <f t="shared" si="2"/>
        <v>8.0808080808080813</v>
      </c>
    </row>
    <row r="19" spans="1:4" ht="15" customHeight="1" x14ac:dyDescent="0.35">
      <c r="A19" s="2" t="s">
        <v>362</v>
      </c>
      <c r="B19" s="3" t="s">
        <v>84</v>
      </c>
      <c r="C19" s="4">
        <v>5</v>
      </c>
      <c r="D19" s="42">
        <f t="shared" si="2"/>
        <v>5.0505050505050502</v>
      </c>
    </row>
    <row r="21" spans="1:4" ht="15" customHeight="1" x14ac:dyDescent="0.35">
      <c r="A21" s="2" t="s">
        <v>363</v>
      </c>
      <c r="B21" s="3" t="s">
        <v>70</v>
      </c>
      <c r="C21" s="4">
        <v>79</v>
      </c>
      <c r="D21" s="42">
        <f>C21/SUM($C$21:$C$24)*100</f>
        <v>77.450980392156865</v>
      </c>
    </row>
    <row r="22" spans="1:4" ht="15" customHeight="1" x14ac:dyDescent="0.35">
      <c r="A22" s="2" t="s">
        <v>363</v>
      </c>
      <c r="B22" s="3" t="s">
        <v>80</v>
      </c>
      <c r="C22" s="4">
        <v>15</v>
      </c>
      <c r="D22" s="42">
        <f t="shared" ref="D22:D24" si="3">C22/SUM($C$21:$C$24)*100</f>
        <v>14.705882352941178</v>
      </c>
    </row>
    <row r="23" spans="1:4" ht="15" customHeight="1" x14ac:dyDescent="0.35">
      <c r="A23" s="2" t="s">
        <v>363</v>
      </c>
      <c r="B23" s="3" t="s">
        <v>79</v>
      </c>
      <c r="C23" s="4">
        <v>4</v>
      </c>
      <c r="D23" s="42">
        <f t="shared" si="3"/>
        <v>3.9215686274509802</v>
      </c>
    </row>
    <row r="24" spans="1:4" ht="15" customHeight="1" x14ac:dyDescent="0.35">
      <c r="A24" s="2" t="s">
        <v>363</v>
      </c>
      <c r="B24" s="3" t="s">
        <v>71</v>
      </c>
      <c r="C24" s="4">
        <v>4</v>
      </c>
      <c r="D24" s="42">
        <f t="shared" si="3"/>
        <v>3.9215686274509802</v>
      </c>
    </row>
    <row r="26" spans="1:4" ht="15" customHeight="1" x14ac:dyDescent="0.35">
      <c r="A26" s="2" t="s">
        <v>364</v>
      </c>
      <c r="B26" s="3" t="s">
        <v>88</v>
      </c>
      <c r="C26" s="4">
        <v>69</v>
      </c>
      <c r="D26" s="42">
        <f>C26/SUM($C$26:$C$29)*100</f>
        <v>68.316831683168317</v>
      </c>
    </row>
    <row r="27" spans="1:4" ht="15" customHeight="1" x14ac:dyDescent="0.35">
      <c r="A27" s="2" t="s">
        <v>364</v>
      </c>
      <c r="B27" s="3" t="s">
        <v>89</v>
      </c>
      <c r="C27" s="4">
        <v>9</v>
      </c>
      <c r="D27" s="42">
        <f t="shared" ref="D27:D29" si="4">C27/SUM($C$26:$C$29)*100</f>
        <v>8.9108910891089099</v>
      </c>
    </row>
    <row r="28" spans="1:4" ht="15" customHeight="1" x14ac:dyDescent="0.35">
      <c r="A28" s="2" t="s">
        <v>364</v>
      </c>
      <c r="B28" s="3" t="s">
        <v>92</v>
      </c>
      <c r="C28" s="4">
        <v>22</v>
      </c>
      <c r="D28" s="42">
        <f t="shared" si="4"/>
        <v>21.782178217821784</v>
      </c>
    </row>
    <row r="29" spans="1:4" ht="15" customHeight="1" x14ac:dyDescent="0.35">
      <c r="A29" s="2" t="s">
        <v>364</v>
      </c>
      <c r="B29" s="3" t="s">
        <v>365</v>
      </c>
      <c r="C29" s="4">
        <v>1</v>
      </c>
      <c r="D29" s="42">
        <f t="shared" si="4"/>
        <v>0.99009900990099009</v>
      </c>
    </row>
    <row r="31" spans="1:4" ht="15" customHeight="1" x14ac:dyDescent="0.35">
      <c r="A31" s="2" t="s">
        <v>366</v>
      </c>
      <c r="B31" s="3" t="s">
        <v>96</v>
      </c>
      <c r="C31" s="4">
        <v>75</v>
      </c>
      <c r="D31" s="42">
        <f>C31/SUM($C$31:$C$34)*100</f>
        <v>68.807339449541288</v>
      </c>
    </row>
    <row r="32" spans="1:4" ht="15" customHeight="1" x14ac:dyDescent="0.35">
      <c r="A32" s="2" t="s">
        <v>366</v>
      </c>
      <c r="B32" s="3" t="s">
        <v>100</v>
      </c>
      <c r="C32" s="4">
        <v>18</v>
      </c>
      <c r="D32" s="42">
        <f t="shared" ref="D32:D34" si="5">C32/SUM($C$31:$C$34)*100</f>
        <v>16.513761467889911</v>
      </c>
    </row>
    <row r="33" spans="1:4" ht="15" customHeight="1" x14ac:dyDescent="0.35">
      <c r="A33" s="2" t="s">
        <v>366</v>
      </c>
      <c r="B33" s="3" t="s">
        <v>101</v>
      </c>
      <c r="C33" s="4">
        <v>5</v>
      </c>
      <c r="D33" s="42">
        <f t="shared" si="5"/>
        <v>4.5871559633027523</v>
      </c>
    </row>
    <row r="34" spans="1:4" ht="15" customHeight="1" x14ac:dyDescent="0.35">
      <c r="A34" s="2" t="s">
        <v>366</v>
      </c>
      <c r="B34" s="3" t="s">
        <v>97</v>
      </c>
      <c r="C34" s="4">
        <v>11</v>
      </c>
      <c r="D34" s="42">
        <f t="shared" si="5"/>
        <v>10.091743119266056</v>
      </c>
    </row>
    <row r="36" spans="1:4" ht="15" customHeight="1" x14ac:dyDescent="0.35">
      <c r="A36" s="2" t="s">
        <v>367</v>
      </c>
      <c r="B36" s="3" t="s">
        <v>105</v>
      </c>
      <c r="C36" s="4">
        <v>69</v>
      </c>
      <c r="D36" s="42">
        <f>C36/SUM($C$36:$C$39)*100</f>
        <v>66.990291262135926</v>
      </c>
    </row>
    <row r="37" spans="1:4" ht="15" customHeight="1" x14ac:dyDescent="0.35">
      <c r="A37" s="2" t="s">
        <v>367</v>
      </c>
      <c r="B37" s="3" t="s">
        <v>116</v>
      </c>
      <c r="C37" s="4">
        <v>31</v>
      </c>
      <c r="D37" s="42">
        <f t="shared" ref="D37:D39" si="6">C37/SUM($C$36:$C$39)*100</f>
        <v>30.097087378640776</v>
      </c>
    </row>
    <row r="38" spans="1:4" ht="15" customHeight="1" x14ac:dyDescent="0.35">
      <c r="A38" s="2" t="s">
        <v>367</v>
      </c>
      <c r="B38" s="3" t="s">
        <v>115</v>
      </c>
      <c r="C38" s="4">
        <v>2</v>
      </c>
      <c r="D38" s="42">
        <f t="shared" si="6"/>
        <v>1.9417475728155338</v>
      </c>
    </row>
    <row r="39" spans="1:4" ht="15" customHeight="1" x14ac:dyDescent="0.35">
      <c r="A39" s="2" t="s">
        <v>367</v>
      </c>
      <c r="B39" s="3" t="s">
        <v>368</v>
      </c>
      <c r="C39" s="4">
        <v>1</v>
      </c>
      <c r="D39" s="42">
        <f t="shared" si="6"/>
        <v>0.97087378640776689</v>
      </c>
    </row>
    <row r="41" spans="1:4" ht="15" customHeight="1" x14ac:dyDescent="0.35">
      <c r="A41" s="2" t="s">
        <v>369</v>
      </c>
      <c r="B41" s="3" t="s">
        <v>109</v>
      </c>
      <c r="C41" s="4">
        <v>69</v>
      </c>
      <c r="D41" s="42">
        <f>C41/SUM($C$41:$C$44)*100</f>
        <v>67.64705882352942</v>
      </c>
    </row>
    <row r="42" spans="1:4" ht="15" customHeight="1" x14ac:dyDescent="0.35">
      <c r="A42" s="2" t="s">
        <v>369</v>
      </c>
      <c r="B42" s="3" t="s">
        <v>110</v>
      </c>
      <c r="C42" s="4">
        <v>22</v>
      </c>
      <c r="D42" s="42">
        <f t="shared" ref="D42:D44" si="7">C42/SUM($C$41:$C$44)*100</f>
        <v>21.568627450980394</v>
      </c>
    </row>
    <row r="43" spans="1:4" ht="15" customHeight="1" x14ac:dyDescent="0.35">
      <c r="A43" s="2" t="s">
        <v>369</v>
      </c>
      <c r="B43" s="3" t="s">
        <v>112</v>
      </c>
      <c r="C43" s="4">
        <v>10</v>
      </c>
      <c r="D43" s="42">
        <f t="shared" si="7"/>
        <v>9.8039215686274517</v>
      </c>
    </row>
    <row r="44" spans="1:4" ht="15" customHeight="1" x14ac:dyDescent="0.35">
      <c r="A44" s="2" t="s">
        <v>369</v>
      </c>
      <c r="B44" s="3" t="s">
        <v>113</v>
      </c>
      <c r="C44" s="4">
        <v>1</v>
      </c>
      <c r="D44" s="42">
        <f t="shared" si="7"/>
        <v>0.98039215686274506</v>
      </c>
    </row>
    <row r="47" spans="1:4" ht="15" customHeight="1" x14ac:dyDescent="0.35">
      <c r="A47" s="65" t="s">
        <v>370</v>
      </c>
      <c r="B47" s="65"/>
      <c r="C47" s="65"/>
      <c r="D47" s="65"/>
    </row>
    <row r="48" spans="1:4" ht="15" customHeight="1" x14ac:dyDescent="0.35">
      <c r="A48" s="1" t="s">
        <v>355</v>
      </c>
      <c r="B48" s="1" t="s">
        <v>356</v>
      </c>
      <c r="C48" s="1" t="s">
        <v>371</v>
      </c>
    </row>
    <row r="49" spans="1:3" ht="15" customHeight="1" x14ac:dyDescent="0.35">
      <c r="A49" s="2" t="s">
        <v>359</v>
      </c>
      <c r="B49" s="3" t="s">
        <v>27</v>
      </c>
      <c r="C49" s="4">
        <v>82</v>
      </c>
    </row>
    <row r="50" spans="1:3" ht="15" customHeight="1" x14ac:dyDescent="0.35">
      <c r="A50" s="2" t="s">
        <v>359</v>
      </c>
      <c r="B50" s="3" t="s">
        <v>28</v>
      </c>
      <c r="C50" s="4">
        <v>62</v>
      </c>
    </row>
    <row r="51" spans="1:3" ht="15" customHeight="1" x14ac:dyDescent="0.35">
      <c r="A51" s="2" t="s">
        <v>359</v>
      </c>
      <c r="B51" s="3" t="s">
        <v>45</v>
      </c>
      <c r="C51" s="4">
        <v>48</v>
      </c>
    </row>
    <row r="52" spans="1:3" ht="15" customHeight="1" x14ac:dyDescent="0.35">
      <c r="A52" s="2" t="s">
        <v>359</v>
      </c>
      <c r="B52" s="3" t="s">
        <v>360</v>
      </c>
      <c r="C52" s="4">
        <v>49</v>
      </c>
    </row>
    <row r="54" spans="1:3" ht="15" customHeight="1" x14ac:dyDescent="0.35">
      <c r="A54" s="2" t="s">
        <v>361</v>
      </c>
      <c r="B54" s="3" t="s">
        <v>51</v>
      </c>
      <c r="C54" s="4">
        <v>97</v>
      </c>
    </row>
    <row r="55" spans="1:3" ht="15" customHeight="1" x14ac:dyDescent="0.35">
      <c r="A55" s="2" t="s">
        <v>361</v>
      </c>
      <c r="B55" s="3" t="s">
        <v>61</v>
      </c>
      <c r="C55" s="4">
        <v>88</v>
      </c>
    </row>
    <row r="56" spans="1:3" ht="15" customHeight="1" x14ac:dyDescent="0.35">
      <c r="A56" s="2" t="s">
        <v>361</v>
      </c>
      <c r="B56" s="3" t="s">
        <v>60</v>
      </c>
      <c r="C56" s="4">
        <v>73</v>
      </c>
    </row>
    <row r="57" spans="1:3" ht="15" customHeight="1" x14ac:dyDescent="0.35">
      <c r="A57" s="2" t="s">
        <v>361</v>
      </c>
      <c r="B57" s="3" t="s">
        <v>52</v>
      </c>
      <c r="C57" s="4">
        <v>13</v>
      </c>
    </row>
    <row r="59" spans="1:3" ht="15" customHeight="1" x14ac:dyDescent="0.35">
      <c r="A59" s="2" t="s">
        <v>362</v>
      </c>
      <c r="B59" s="3" t="s">
        <v>75</v>
      </c>
      <c r="C59" s="4">
        <v>95</v>
      </c>
    </row>
    <row r="60" spans="1:3" ht="15" customHeight="1" x14ac:dyDescent="0.35">
      <c r="A60" s="2" t="s">
        <v>362</v>
      </c>
      <c r="B60" s="3" t="s">
        <v>76</v>
      </c>
      <c r="C60" s="4">
        <v>58</v>
      </c>
    </row>
    <row r="61" spans="1:3" ht="15" customHeight="1" x14ac:dyDescent="0.35">
      <c r="A61" s="2" t="s">
        <v>362</v>
      </c>
      <c r="B61" s="3" t="s">
        <v>83</v>
      </c>
      <c r="C61" s="4">
        <v>35</v>
      </c>
    </row>
    <row r="62" spans="1:3" ht="15" customHeight="1" x14ac:dyDescent="0.35">
      <c r="A62" s="2" t="s">
        <v>362</v>
      </c>
      <c r="B62" s="3" t="s">
        <v>84</v>
      </c>
      <c r="C62" s="4">
        <v>12</v>
      </c>
    </row>
    <row r="64" spans="1:3" ht="15" customHeight="1" x14ac:dyDescent="0.35">
      <c r="A64" s="2" t="s">
        <v>363</v>
      </c>
      <c r="B64" s="3" t="s">
        <v>70</v>
      </c>
      <c r="C64" s="4">
        <v>98</v>
      </c>
    </row>
    <row r="65" spans="1:3" ht="15" customHeight="1" x14ac:dyDescent="0.35">
      <c r="A65" s="2" t="s">
        <v>363</v>
      </c>
      <c r="B65" s="3" t="s">
        <v>80</v>
      </c>
      <c r="C65" s="4">
        <v>72</v>
      </c>
    </row>
    <row r="66" spans="1:3" ht="15" customHeight="1" x14ac:dyDescent="0.35">
      <c r="A66" s="2" t="s">
        <v>363</v>
      </c>
      <c r="B66" s="3" t="s">
        <v>79</v>
      </c>
      <c r="C66" s="4">
        <v>22</v>
      </c>
    </row>
    <row r="67" spans="1:3" ht="15" customHeight="1" x14ac:dyDescent="0.35">
      <c r="A67" s="2" t="s">
        <v>363</v>
      </c>
      <c r="B67" s="3" t="s">
        <v>71</v>
      </c>
      <c r="C67" s="4">
        <v>8</v>
      </c>
    </row>
    <row r="69" spans="1:3" ht="15" customHeight="1" x14ac:dyDescent="0.35">
      <c r="A69" s="2" t="s">
        <v>364</v>
      </c>
      <c r="B69" s="3" t="s">
        <v>88</v>
      </c>
      <c r="C69" s="4">
        <v>94</v>
      </c>
    </row>
    <row r="70" spans="1:3" ht="15" customHeight="1" x14ac:dyDescent="0.35">
      <c r="A70" s="2" t="s">
        <v>364</v>
      </c>
      <c r="B70" s="3" t="s">
        <v>89</v>
      </c>
      <c r="C70" s="4">
        <v>64</v>
      </c>
    </row>
    <row r="71" spans="1:3" ht="15" customHeight="1" x14ac:dyDescent="0.35">
      <c r="A71" s="2" t="s">
        <v>364</v>
      </c>
      <c r="B71" s="3" t="s">
        <v>92</v>
      </c>
      <c r="C71" s="4">
        <v>78</v>
      </c>
    </row>
    <row r="72" spans="1:3" ht="15" customHeight="1" x14ac:dyDescent="0.35">
      <c r="A72" s="2" t="s">
        <v>364</v>
      </c>
      <c r="B72" s="3" t="s">
        <v>365</v>
      </c>
      <c r="C72" s="4">
        <v>10</v>
      </c>
    </row>
    <row r="74" spans="1:3" ht="15" customHeight="1" x14ac:dyDescent="0.35">
      <c r="A74" s="2" t="s">
        <v>366</v>
      </c>
      <c r="B74" s="3" t="s">
        <v>96</v>
      </c>
      <c r="C74" s="4">
        <v>97</v>
      </c>
    </row>
    <row r="75" spans="1:3" ht="15" customHeight="1" x14ac:dyDescent="0.35">
      <c r="A75" s="2" t="s">
        <v>366</v>
      </c>
      <c r="B75" s="3" t="s">
        <v>100</v>
      </c>
      <c r="C75" s="4">
        <v>74</v>
      </c>
    </row>
    <row r="76" spans="1:3" ht="15" customHeight="1" x14ac:dyDescent="0.35">
      <c r="A76" s="2" t="s">
        <v>366</v>
      </c>
      <c r="B76" s="3" t="s">
        <v>101</v>
      </c>
      <c r="C76" s="4">
        <v>32</v>
      </c>
    </row>
    <row r="77" spans="1:3" ht="15" customHeight="1" x14ac:dyDescent="0.35">
      <c r="A77" s="2" t="s">
        <v>366</v>
      </c>
      <c r="B77" s="3" t="s">
        <v>97</v>
      </c>
      <c r="C77" s="4">
        <v>64</v>
      </c>
    </row>
    <row r="79" spans="1:3" ht="15" customHeight="1" x14ac:dyDescent="0.35">
      <c r="A79" s="2" t="s">
        <v>367</v>
      </c>
      <c r="B79" s="3" t="s">
        <v>105</v>
      </c>
      <c r="C79" s="4">
        <v>92</v>
      </c>
    </row>
    <row r="80" spans="1:3" ht="15" customHeight="1" x14ac:dyDescent="0.35">
      <c r="A80" s="2" t="s">
        <v>367</v>
      </c>
      <c r="B80" s="3" t="s">
        <v>116</v>
      </c>
      <c r="C80" s="4">
        <v>85</v>
      </c>
    </row>
    <row r="81" spans="1:7" ht="15" customHeight="1" x14ac:dyDescent="0.35">
      <c r="A81" s="2" t="s">
        <v>367</v>
      </c>
      <c r="B81" s="3" t="s">
        <v>115</v>
      </c>
      <c r="C81" s="4">
        <v>29</v>
      </c>
    </row>
    <row r="82" spans="1:7" ht="15" customHeight="1" x14ac:dyDescent="0.35">
      <c r="A82" s="2" t="s">
        <v>367</v>
      </c>
      <c r="B82" s="3" t="s">
        <v>368</v>
      </c>
      <c r="C82" s="4">
        <v>10</v>
      </c>
    </row>
    <row r="84" spans="1:7" ht="15" customHeight="1" x14ac:dyDescent="0.35">
      <c r="A84" s="2" t="s">
        <v>369</v>
      </c>
      <c r="B84" s="3" t="s">
        <v>109</v>
      </c>
      <c r="C84" s="4">
        <v>94</v>
      </c>
    </row>
    <row r="85" spans="1:7" ht="15" customHeight="1" x14ac:dyDescent="0.35">
      <c r="A85" s="2" t="s">
        <v>369</v>
      </c>
      <c r="B85" s="3" t="s">
        <v>110</v>
      </c>
      <c r="C85" s="4">
        <v>68</v>
      </c>
    </row>
    <row r="86" spans="1:7" ht="15" customHeight="1" x14ac:dyDescent="0.35">
      <c r="A86" s="2" t="s">
        <v>369</v>
      </c>
      <c r="B86" s="3" t="s">
        <v>112</v>
      </c>
      <c r="C86" s="4">
        <v>28</v>
      </c>
    </row>
    <row r="87" spans="1:7" ht="15" customHeight="1" x14ac:dyDescent="0.35">
      <c r="A87" s="2" t="s">
        <v>369</v>
      </c>
      <c r="B87" s="3" t="s">
        <v>113</v>
      </c>
      <c r="C87" s="4">
        <v>10</v>
      </c>
    </row>
    <row r="90" spans="1:7" ht="15" customHeight="1" x14ac:dyDescent="0.35">
      <c r="A90" s="62" t="s">
        <v>372</v>
      </c>
      <c r="B90" s="62"/>
      <c r="C90" s="62"/>
      <c r="D90" s="62"/>
      <c r="E90" s="62"/>
    </row>
    <row r="91" spans="1:7" ht="15" customHeight="1" x14ac:dyDescent="0.35">
      <c r="A91" s="1" t="s">
        <v>2</v>
      </c>
      <c r="B91" s="1" t="s">
        <v>373</v>
      </c>
      <c r="C91" s="1" t="s">
        <v>358</v>
      </c>
      <c r="D91" s="1" t="s">
        <v>374</v>
      </c>
      <c r="E91" s="1" t="s">
        <v>358</v>
      </c>
    </row>
    <row r="92" spans="1:7" ht="15" customHeight="1" x14ac:dyDescent="0.35">
      <c r="A92" s="2" t="s">
        <v>219</v>
      </c>
      <c r="B92" s="3" t="s">
        <v>375</v>
      </c>
      <c r="C92" s="42">
        <v>55</v>
      </c>
      <c r="D92" s="3" t="s">
        <v>376</v>
      </c>
      <c r="E92" s="43">
        <f>100-C92</f>
        <v>45</v>
      </c>
      <c r="G92" s="44"/>
    </row>
    <row r="93" spans="1:7" ht="15" customHeight="1" x14ac:dyDescent="0.35">
      <c r="A93" s="2" t="s">
        <v>215</v>
      </c>
      <c r="B93" s="3" t="s">
        <v>377</v>
      </c>
      <c r="C93" s="42">
        <v>45</v>
      </c>
      <c r="D93" s="3" t="s">
        <v>378</v>
      </c>
      <c r="E93" s="43">
        <f>100-C93</f>
        <v>55</v>
      </c>
    </row>
    <row r="95" spans="1:7" ht="15" customHeight="1" x14ac:dyDescent="0.35">
      <c r="A95" s="62" t="s">
        <v>379</v>
      </c>
      <c r="B95" s="62"/>
      <c r="C95" s="62"/>
    </row>
    <row r="96" spans="1:7" ht="15" customHeight="1" x14ac:dyDescent="0.35">
      <c r="A96" s="1" t="s">
        <v>356</v>
      </c>
      <c r="B96" s="1" t="s">
        <v>380</v>
      </c>
      <c r="C96" s="1"/>
    </row>
    <row r="97" spans="1:4" ht="15" customHeight="1" x14ac:dyDescent="0.35">
      <c r="A97" s="3" t="s">
        <v>96</v>
      </c>
      <c r="B97" s="4">
        <v>10.4</v>
      </c>
    </row>
    <row r="98" spans="1:4" ht="15" customHeight="1" x14ac:dyDescent="0.35">
      <c r="A98" s="3" t="s">
        <v>70</v>
      </c>
      <c r="B98" s="4">
        <v>15.9</v>
      </c>
      <c r="D98" s="50" t="s">
        <v>381</v>
      </c>
    </row>
    <row r="99" spans="1:4" ht="15" customHeight="1" x14ac:dyDescent="0.35">
      <c r="A99" s="3" t="s">
        <v>109</v>
      </c>
      <c r="B99" s="4">
        <v>13</v>
      </c>
    </row>
    <row r="100" spans="1:4" ht="15" customHeight="1" x14ac:dyDescent="0.35">
      <c r="A100" s="3" t="s">
        <v>105</v>
      </c>
      <c r="B100" s="4">
        <v>7.3</v>
      </c>
    </row>
    <row r="101" spans="1:4" ht="15" customHeight="1" x14ac:dyDescent="0.35">
      <c r="A101" s="3" t="s">
        <v>116</v>
      </c>
      <c r="B101" s="4">
        <v>1.7</v>
      </c>
    </row>
    <row r="102" spans="1:4" ht="15" customHeight="1" x14ac:dyDescent="0.35">
      <c r="A102" s="3" t="s">
        <v>110</v>
      </c>
      <c r="B102" s="4">
        <v>1.2</v>
      </c>
    </row>
    <row r="103" spans="1:4" ht="15" customHeight="1" x14ac:dyDescent="0.35">
      <c r="A103" s="3" t="s">
        <v>80</v>
      </c>
      <c r="B103" s="4">
        <v>1.2</v>
      </c>
    </row>
    <row r="104" spans="1:4" ht="15" customHeight="1" x14ac:dyDescent="0.35">
      <c r="A104" s="3" t="s">
        <v>100</v>
      </c>
      <c r="B104" s="4">
        <v>0.5</v>
      </c>
    </row>
    <row r="105" spans="1:4" x14ac:dyDescent="0.35">
      <c r="A105" s="3" t="s">
        <v>88</v>
      </c>
      <c r="B105" s="4">
        <v>12.3</v>
      </c>
    </row>
    <row r="106" spans="1:4" x14ac:dyDescent="0.35">
      <c r="A106" s="3" t="s">
        <v>37</v>
      </c>
      <c r="B106" s="4">
        <v>8.6</v>
      </c>
    </row>
    <row r="107" spans="1:4" x14ac:dyDescent="0.35">
      <c r="A107" s="3" t="s">
        <v>51</v>
      </c>
      <c r="B107" s="4">
        <v>5.8</v>
      </c>
    </row>
    <row r="108" spans="1:4" x14ac:dyDescent="0.35">
      <c r="A108" s="3" t="s">
        <v>56</v>
      </c>
      <c r="B108" s="4">
        <v>3.3</v>
      </c>
    </row>
    <row r="109" spans="1:4" x14ac:dyDescent="0.35">
      <c r="A109" s="3" t="s">
        <v>92</v>
      </c>
      <c r="B109" s="4">
        <v>3.1</v>
      </c>
    </row>
    <row r="110" spans="1:4" x14ac:dyDescent="0.35">
      <c r="A110" s="3" t="s">
        <v>38</v>
      </c>
      <c r="B110" s="4">
        <v>1.9</v>
      </c>
    </row>
    <row r="111" spans="1:4" x14ac:dyDescent="0.35">
      <c r="A111" s="3" t="s">
        <v>75</v>
      </c>
      <c r="B111" s="4">
        <v>1.8</v>
      </c>
    </row>
  </sheetData>
  <mergeCells count="6">
    <mergeCell ref="A95:C95"/>
    <mergeCell ref="A1:G1"/>
    <mergeCell ref="A2:G2"/>
    <mergeCell ref="A4:D4"/>
    <mergeCell ref="A47:D47"/>
    <mergeCell ref="A90:E9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showGridLines="0" zoomScaleNormal="100" workbookViewId="0">
      <selection activeCell="K9" sqref="K9"/>
    </sheetView>
  </sheetViews>
  <sheetFormatPr defaultColWidth="8.54296875" defaultRowHeight="14.5" x14ac:dyDescent="0.35"/>
  <cols>
    <col min="1" max="1" width="16" customWidth="1"/>
    <col min="2" max="8" width="10.54296875" customWidth="1"/>
    <col min="9" max="9" width="9.54296875" bestFit="1" customWidth="1"/>
  </cols>
  <sheetData>
    <row r="1" spans="1:11" ht="17.25" customHeight="1" x14ac:dyDescent="0.35">
      <c r="A1" s="63" t="s">
        <v>382</v>
      </c>
      <c r="B1" s="63"/>
      <c r="C1" s="63"/>
      <c r="D1" s="63"/>
      <c r="E1" s="63"/>
      <c r="F1" s="63"/>
      <c r="G1" s="63"/>
      <c r="H1" s="63"/>
      <c r="I1" s="63"/>
    </row>
    <row r="2" spans="1:11" ht="15" customHeight="1" x14ac:dyDescent="0.35">
      <c r="A2" s="52" t="s">
        <v>383</v>
      </c>
      <c r="B2" s="52"/>
      <c r="C2" s="52"/>
      <c r="D2" s="52"/>
      <c r="E2" s="52"/>
      <c r="F2" s="52"/>
      <c r="G2" s="52"/>
      <c r="H2" s="52"/>
      <c r="I2" s="52"/>
    </row>
    <row r="4" spans="1:11" ht="15" customHeight="1" x14ac:dyDescent="0.35">
      <c r="A4" s="66" t="s">
        <v>384</v>
      </c>
      <c r="B4" s="66"/>
      <c r="C4" s="66"/>
      <c r="D4" s="66"/>
      <c r="E4" s="66"/>
      <c r="F4" s="66"/>
      <c r="G4" s="66"/>
      <c r="H4" s="66"/>
      <c r="I4" s="66"/>
    </row>
    <row r="5" spans="1:11" ht="15" customHeight="1" x14ac:dyDescent="0.35">
      <c r="A5" s="1" t="s">
        <v>356</v>
      </c>
      <c r="B5" s="1" t="s">
        <v>385</v>
      </c>
      <c r="C5" s="1" t="s">
        <v>386</v>
      </c>
      <c r="D5" s="1" t="s">
        <v>359</v>
      </c>
      <c r="E5" s="1" t="s">
        <v>369</v>
      </c>
      <c r="F5" s="1" t="s">
        <v>387</v>
      </c>
      <c r="G5" s="1" t="s">
        <v>388</v>
      </c>
      <c r="H5" s="1" t="s">
        <v>389</v>
      </c>
      <c r="I5" s="1" t="s">
        <v>390</v>
      </c>
      <c r="K5" t="s">
        <v>391</v>
      </c>
    </row>
    <row r="6" spans="1:11" ht="15" customHeight="1" x14ac:dyDescent="0.35">
      <c r="A6" s="3" t="s">
        <v>27</v>
      </c>
      <c r="B6" s="6">
        <f>COUNTIFS(SCHEDULE!$B:$B,"Group D",SCHEDULE!$D:$D,A6,SCHEDULE!$G:$G,"&lt;&gt;")+COUNTIFS(SCHEDULE!$B:$B,"Group D",SCHEDULE!$F:$F,A6,SCHEDULE!$G:$G,"&lt;&gt;")</f>
        <v>0</v>
      </c>
      <c r="C6" s="6">
        <f>COUNTIFS(SCHEDULE!$B:$B,"Group D",SCHEDULE!$D:$D,A6,SCHEDULE!$G:$G,A6)+COUNTIFS(SCHEDULE!$B:$B,"Group D",SCHEDULE!$F:$F,A6,SCHEDULE!$G:$G,A6)</f>
        <v>0</v>
      </c>
      <c r="D6" s="6">
        <f>COUNTIFS(SCHEDULE!$B:$B,"Group D",SCHEDULE!$D:$D,A6,SCHEDULE!$G:$G,"Draw")+COUNTIFS(SCHEDULE!$B:$B,"Group D",SCHEDULE!$F:$F,A6,SCHEDULE!$G:$G,"Draw")</f>
        <v>0</v>
      </c>
      <c r="E6" s="6">
        <f>B6-C6-D6</f>
        <v>0</v>
      </c>
      <c r="F6" s="6">
        <v>0</v>
      </c>
      <c r="G6" s="2">
        <f>C6*3+D6</f>
        <v>0</v>
      </c>
      <c r="H6" s="6" t="str">
        <f>IF(B6=0,"?",RANK(G6,$G$6:$G$9,0))</f>
        <v>?</v>
      </c>
      <c r="I6" s="2" t="str">
        <f>IF(B6=3,H6,"")</f>
        <v/>
      </c>
    </row>
    <row r="7" spans="1:11" ht="15" customHeight="1" x14ac:dyDescent="0.35">
      <c r="A7" s="3" t="s">
        <v>28</v>
      </c>
      <c r="B7" s="6">
        <f>COUNTIFS(SCHEDULE!$B:$B,"Group D",SCHEDULE!$D:$D,A7,SCHEDULE!$G:$G,"&lt;&gt;")+COUNTIFS(SCHEDULE!$B:$B,"Group D",SCHEDULE!$F:$F,A7,SCHEDULE!$G:$G,"&lt;&gt;")</f>
        <v>0</v>
      </c>
      <c r="C7" s="6">
        <f>COUNTIFS(SCHEDULE!$B:$B,"Group D",SCHEDULE!$D:$D,A7,SCHEDULE!$G:$G,A7)+COUNTIFS(SCHEDULE!$B:$B,"Group D",SCHEDULE!$F:$F,A7,SCHEDULE!$G:$G,A7)</f>
        <v>0</v>
      </c>
      <c r="D7" s="6">
        <f>COUNTIFS(SCHEDULE!$B:$B,"Group D",SCHEDULE!$D:$D,A7,SCHEDULE!$G:$G,"Draw")+COUNTIFS(SCHEDULE!$B:$B,"Group D",SCHEDULE!$F:$F,A7,SCHEDULE!$G:$G,"Draw")</f>
        <v>0</v>
      </c>
      <c r="E7" s="6">
        <f>B7-C7-D7</f>
        <v>0</v>
      </c>
      <c r="F7" s="6">
        <v>0</v>
      </c>
      <c r="G7" s="2">
        <f>C7*3+D7</f>
        <v>0</v>
      </c>
      <c r="H7" s="6" t="str">
        <f>IF(B7=0,"?",RANK(G7,$G$6:$G$9,0))</f>
        <v>?</v>
      </c>
      <c r="I7" s="2" t="str">
        <f>IF(B7=3,H7,"")</f>
        <v/>
      </c>
    </row>
    <row r="8" spans="1:11" ht="15" customHeight="1" x14ac:dyDescent="0.35">
      <c r="A8" s="3" t="s">
        <v>45</v>
      </c>
      <c r="B8" s="6">
        <f>COUNTIFS(SCHEDULE!$B:$B,"Group D",SCHEDULE!$D:$D,A8,SCHEDULE!$G:$G,"&lt;&gt;")+COUNTIFS(SCHEDULE!$B:$B,"Group D",SCHEDULE!$F:$F,A8,SCHEDULE!$G:$G,"&lt;&gt;")</f>
        <v>0</v>
      </c>
      <c r="C8" s="6">
        <f>COUNTIFS(SCHEDULE!$B:$B,"Group D",SCHEDULE!$D:$D,A8,SCHEDULE!$G:$G,A8)+COUNTIFS(SCHEDULE!$B:$B,"Group D",SCHEDULE!$F:$F,A8,SCHEDULE!$G:$G,A8)</f>
        <v>0</v>
      </c>
      <c r="D8" s="6">
        <f>COUNTIFS(SCHEDULE!$B:$B,"Group D",SCHEDULE!$D:$D,A8,SCHEDULE!$G:$G,"Draw")+COUNTIFS(SCHEDULE!$B:$B,"Group D",SCHEDULE!$F:$F,A8,SCHEDULE!$G:$G,"Draw")</f>
        <v>0</v>
      </c>
      <c r="E8" s="6">
        <f>B8-C8-D8</f>
        <v>0</v>
      </c>
      <c r="F8" s="6">
        <v>0</v>
      </c>
      <c r="G8" s="2">
        <f>C8*3+D8</f>
        <v>0</v>
      </c>
      <c r="H8" s="6" t="str">
        <f>IF(B8=0,"?",RANK(G8,$G$6:$G$9,0))</f>
        <v>?</v>
      </c>
      <c r="I8" s="2" t="str">
        <f>IF(B8=3,H8,"")</f>
        <v/>
      </c>
    </row>
    <row r="9" spans="1:11" ht="15" customHeight="1" x14ac:dyDescent="0.35">
      <c r="A9" s="3" t="s">
        <v>360</v>
      </c>
      <c r="B9" s="6">
        <f>COUNTIFS(SCHEDULE!$B:$B,"Group D",SCHEDULE!$D:$D,A9,SCHEDULE!$G:$G,"&lt;&gt;")+COUNTIFS(SCHEDULE!$B:$B,"Group D",SCHEDULE!$F:$F,A9,SCHEDULE!$G:$G,"&lt;&gt;")</f>
        <v>0</v>
      </c>
      <c r="C9" s="6">
        <f>COUNTIFS(SCHEDULE!$B:$B,"Group D",SCHEDULE!$D:$D,A9,SCHEDULE!$G:$G,A9)+COUNTIFS(SCHEDULE!$B:$B,"Group D",SCHEDULE!$F:$F,A9,SCHEDULE!$G:$G,A9)</f>
        <v>0</v>
      </c>
      <c r="D9" s="6">
        <f>COUNTIFS(SCHEDULE!$B:$B,"Group D",SCHEDULE!$D:$D,A9,SCHEDULE!$G:$G,"Draw")+COUNTIFS(SCHEDULE!$B:$B,"Group D",SCHEDULE!$F:$F,A9,SCHEDULE!$G:$G,"Draw")</f>
        <v>0</v>
      </c>
      <c r="E9" s="6">
        <f>B9-C9-D9</f>
        <v>0</v>
      </c>
      <c r="F9" s="6">
        <v>0</v>
      </c>
      <c r="G9" s="2">
        <f>C9*3+D9</f>
        <v>0</v>
      </c>
      <c r="H9" s="6" t="str">
        <f>IF(B9=0,"?",RANK(G9,$G$6:$G$9,0))</f>
        <v>?</v>
      </c>
      <c r="I9" s="2" t="str">
        <f>IF(B9=3,H9,"")</f>
        <v/>
      </c>
    </row>
    <row r="11" spans="1:11" ht="15" customHeight="1" x14ac:dyDescent="0.35">
      <c r="A11" s="66" t="s">
        <v>392</v>
      </c>
      <c r="B11" s="66"/>
      <c r="C11" s="66"/>
      <c r="D11" s="66"/>
      <c r="E11" s="66"/>
      <c r="F11" s="66"/>
      <c r="G11" s="66"/>
      <c r="H11" s="66"/>
      <c r="I11" s="66"/>
    </row>
    <row r="12" spans="1:11" ht="15" customHeight="1" x14ac:dyDescent="0.35">
      <c r="A12" s="1" t="s">
        <v>356</v>
      </c>
      <c r="B12" s="1" t="s">
        <v>385</v>
      </c>
      <c r="C12" s="1" t="s">
        <v>386</v>
      </c>
      <c r="D12" s="1" t="s">
        <v>359</v>
      </c>
      <c r="E12" s="1" t="s">
        <v>369</v>
      </c>
      <c r="F12" s="1" t="s">
        <v>387</v>
      </c>
      <c r="G12" s="1" t="s">
        <v>388</v>
      </c>
      <c r="H12" s="1" t="s">
        <v>389</v>
      </c>
      <c r="I12" s="1" t="s">
        <v>390</v>
      </c>
    </row>
    <row r="13" spans="1:11" ht="15" customHeight="1" x14ac:dyDescent="0.35">
      <c r="A13" s="3" t="s">
        <v>51</v>
      </c>
      <c r="B13" s="6">
        <f>COUNTIFS(SCHEDULE!$B:$B,"Group E",SCHEDULE!$D:$D,A13,SCHEDULE!$G:$G,"&lt;&gt;")+COUNTIFS(SCHEDULE!$B:$B,"Group E",SCHEDULE!$F:$F,A13,SCHEDULE!$G:$G,"&lt;&gt;")</f>
        <v>0</v>
      </c>
      <c r="C13" s="6">
        <f>COUNTIFS(SCHEDULE!$B:$B,"Group E",SCHEDULE!$D:$D,A13,SCHEDULE!$G:$G,A13)+COUNTIFS(SCHEDULE!$B:$B,"Group E",SCHEDULE!$F:$F,A13,SCHEDULE!$G:$G,A13)</f>
        <v>0</v>
      </c>
      <c r="D13" s="6">
        <f>COUNTIFS(SCHEDULE!$B:$B,"Group E",SCHEDULE!$D:$D,A13,SCHEDULE!$G:$G,"Draw")+COUNTIFS(SCHEDULE!$B:$B,"Group E",SCHEDULE!$F:$F,A13,SCHEDULE!$G:$G,"Draw")</f>
        <v>0</v>
      </c>
      <c r="E13" s="6">
        <f>B13-C13-D13</f>
        <v>0</v>
      </c>
      <c r="F13" s="6">
        <v>0</v>
      </c>
      <c r="G13" s="2">
        <f>C13*3+D13</f>
        <v>0</v>
      </c>
      <c r="H13" s="6" t="str">
        <f>IF(B13=0,"?",RANK(G13,$G$13:$G$16,0))</f>
        <v>?</v>
      </c>
      <c r="I13" s="2" t="str">
        <f>IF(B13=3,H13,"")</f>
        <v/>
      </c>
    </row>
    <row r="14" spans="1:11" ht="15" customHeight="1" x14ac:dyDescent="0.35">
      <c r="A14" s="3" t="s">
        <v>61</v>
      </c>
      <c r="B14" s="6">
        <f>COUNTIFS(SCHEDULE!$B:$B,"Group E",SCHEDULE!$D:$D,A14,SCHEDULE!$G:$G,"&lt;&gt;")+COUNTIFS(SCHEDULE!$B:$B,"Group E",SCHEDULE!$F:$F,A14,SCHEDULE!$G:$G,"&lt;&gt;")</f>
        <v>0</v>
      </c>
      <c r="C14" s="6">
        <f>COUNTIFS(SCHEDULE!$B:$B,"Group E",SCHEDULE!$D:$D,A14,SCHEDULE!$G:$G,A14)+COUNTIFS(SCHEDULE!$B:$B,"Group E",SCHEDULE!$F:$F,A14,SCHEDULE!$G:$G,A14)</f>
        <v>0</v>
      </c>
      <c r="D14" s="6">
        <f>COUNTIFS(SCHEDULE!$B:$B,"Group E",SCHEDULE!$D:$D,A14,SCHEDULE!$G:$G,"Draw")+COUNTIFS(SCHEDULE!$B:$B,"Group E",SCHEDULE!$F:$F,A14,SCHEDULE!$G:$G,"Draw")</f>
        <v>0</v>
      </c>
      <c r="E14" s="6">
        <f>B14-C14-D14</f>
        <v>0</v>
      </c>
      <c r="F14" s="6">
        <v>0</v>
      </c>
      <c r="G14" s="2">
        <f>C14*3+D14</f>
        <v>0</v>
      </c>
      <c r="H14" s="6" t="str">
        <f>IF(B14=0,"?",RANK(G14,$G$13:$G$16,0))</f>
        <v>?</v>
      </c>
      <c r="I14" s="2" t="str">
        <f>IF(B14=3,H14,"")</f>
        <v/>
      </c>
    </row>
    <row r="15" spans="1:11" ht="15" customHeight="1" x14ac:dyDescent="0.35">
      <c r="A15" s="3" t="s">
        <v>60</v>
      </c>
      <c r="B15" s="6">
        <f>COUNTIFS(SCHEDULE!$B:$B,"Group E",SCHEDULE!$D:$D,A15,SCHEDULE!$G:$G,"&lt;&gt;")+COUNTIFS(SCHEDULE!$B:$B,"Group E",SCHEDULE!$F:$F,A15,SCHEDULE!$G:$G,"&lt;&gt;")</f>
        <v>0</v>
      </c>
      <c r="C15" s="6">
        <f>COUNTIFS(SCHEDULE!$B:$B,"Group E",SCHEDULE!$D:$D,A15,SCHEDULE!$G:$G,A15)+COUNTIFS(SCHEDULE!$B:$B,"Group E",SCHEDULE!$F:$F,A15,SCHEDULE!$G:$G,A15)</f>
        <v>0</v>
      </c>
      <c r="D15" s="6">
        <f>COUNTIFS(SCHEDULE!$B:$B,"Group E",SCHEDULE!$D:$D,A15,SCHEDULE!$G:$G,"Draw")+COUNTIFS(SCHEDULE!$B:$B,"Group E",SCHEDULE!$F:$F,A15,SCHEDULE!$G:$G,"Draw")</f>
        <v>0</v>
      </c>
      <c r="E15" s="6">
        <f>B15-C15-D15</f>
        <v>0</v>
      </c>
      <c r="F15" s="6">
        <v>0</v>
      </c>
      <c r="G15" s="2">
        <f>C15*3+D15</f>
        <v>0</v>
      </c>
      <c r="H15" s="6" t="str">
        <f>IF(B15=0,"?",RANK(G15,$G$13:$G$16,0))</f>
        <v>?</v>
      </c>
      <c r="I15" s="2" t="str">
        <f>IF(B15=3,H15,"")</f>
        <v/>
      </c>
    </row>
    <row r="16" spans="1:11" ht="15" customHeight="1" x14ac:dyDescent="0.35">
      <c r="A16" s="3" t="s">
        <v>52</v>
      </c>
      <c r="B16" s="6">
        <f>COUNTIFS(SCHEDULE!$B:$B,"Group E",SCHEDULE!$D:$D,A16,SCHEDULE!$G:$G,"&lt;&gt;")+COUNTIFS(SCHEDULE!$B:$B,"Group E",SCHEDULE!$F:$F,A16,SCHEDULE!$G:$G,"&lt;&gt;")</f>
        <v>0</v>
      </c>
      <c r="C16" s="6">
        <f>COUNTIFS(SCHEDULE!$B:$B,"Group E",SCHEDULE!$D:$D,A16,SCHEDULE!$G:$G,A16)+COUNTIFS(SCHEDULE!$B:$B,"Group E",SCHEDULE!$F:$F,A16,SCHEDULE!$G:$G,A16)</f>
        <v>0</v>
      </c>
      <c r="D16" s="6">
        <f>COUNTIFS(SCHEDULE!$B:$B,"Group E",SCHEDULE!$D:$D,A16,SCHEDULE!$G:$G,"Draw")+COUNTIFS(SCHEDULE!$B:$B,"Group E",SCHEDULE!$F:$F,A16,SCHEDULE!$G:$G,"Draw")</f>
        <v>0</v>
      </c>
      <c r="E16" s="6">
        <f>B16-C16-D16</f>
        <v>0</v>
      </c>
      <c r="F16" s="6">
        <v>0</v>
      </c>
      <c r="G16" s="2">
        <f>C16*3+D16</f>
        <v>0</v>
      </c>
      <c r="H16" s="6" t="str">
        <f>IF(B16=0,"?",RANK(G16,$G$13:$G$16,0))</f>
        <v>?</v>
      </c>
      <c r="I16" s="2" t="str">
        <f>IF(B16=3,H16,"")</f>
        <v/>
      </c>
    </row>
    <row r="18" spans="1:9" ht="15" customHeight="1" x14ac:dyDescent="0.35">
      <c r="A18" s="66" t="s">
        <v>393</v>
      </c>
      <c r="B18" s="66"/>
      <c r="C18" s="66"/>
      <c r="D18" s="66"/>
      <c r="E18" s="66"/>
      <c r="F18" s="66"/>
      <c r="G18" s="66"/>
      <c r="H18" s="66"/>
      <c r="I18" s="66"/>
    </row>
    <row r="19" spans="1:9" ht="15" customHeight="1" x14ac:dyDescent="0.35">
      <c r="A19" s="1" t="s">
        <v>356</v>
      </c>
      <c r="B19" s="1" t="s">
        <v>385</v>
      </c>
      <c r="C19" s="1" t="s">
        <v>386</v>
      </c>
      <c r="D19" s="1" t="s">
        <v>359</v>
      </c>
      <c r="E19" s="1" t="s">
        <v>369</v>
      </c>
      <c r="F19" s="1" t="s">
        <v>387</v>
      </c>
      <c r="G19" s="1" t="s">
        <v>388</v>
      </c>
      <c r="H19" s="1" t="s">
        <v>389</v>
      </c>
      <c r="I19" s="1" t="s">
        <v>390</v>
      </c>
    </row>
    <row r="20" spans="1:9" ht="15" customHeight="1" x14ac:dyDescent="0.35">
      <c r="A20" s="3" t="s">
        <v>75</v>
      </c>
      <c r="B20" s="6">
        <f>COUNTIFS(SCHEDULE!$B:$B,"Group G",SCHEDULE!$D:$D,A20,SCHEDULE!$G:$G,"&lt;&gt;")+COUNTIFS(SCHEDULE!$B:$B,"Group G",SCHEDULE!$F:$F,A20,SCHEDULE!$G:$G,"&lt;&gt;")</f>
        <v>0</v>
      </c>
      <c r="C20" s="6">
        <f>COUNTIFS(SCHEDULE!$B:$B,"Group G",SCHEDULE!$D:$D,A20,SCHEDULE!$G:$G,A20)+COUNTIFS(SCHEDULE!$B:$B,"Group G",SCHEDULE!$F:$F,A20,SCHEDULE!$G:$G,A20)</f>
        <v>0</v>
      </c>
      <c r="D20" s="6">
        <f>COUNTIFS(SCHEDULE!$B:$B,"Group G",SCHEDULE!$D:$D,A20,SCHEDULE!$G:$G,"Draw")+COUNTIFS(SCHEDULE!$B:$B,"Group G",SCHEDULE!$F:$F,A20,SCHEDULE!$G:$G,"Draw")</f>
        <v>0</v>
      </c>
      <c r="E20" s="6">
        <f>B20-C20-D20</f>
        <v>0</v>
      </c>
      <c r="F20" s="6">
        <v>0</v>
      </c>
      <c r="G20" s="2">
        <f>C20*3+D20</f>
        <v>0</v>
      </c>
      <c r="H20" s="6" t="str">
        <f>IF(B20=0,"?",RANK(G20,$G$20:$G$23,0))</f>
        <v>?</v>
      </c>
      <c r="I20" s="2" t="str">
        <f>IF(B20=3,H20,"")</f>
        <v/>
      </c>
    </row>
    <row r="21" spans="1:9" ht="15" customHeight="1" x14ac:dyDescent="0.35">
      <c r="A21" s="3" t="s">
        <v>76</v>
      </c>
      <c r="B21" s="6">
        <f>COUNTIFS(SCHEDULE!$B:$B,"Group G",SCHEDULE!$D:$D,A21,SCHEDULE!$G:$G,"&lt;&gt;")+COUNTIFS(SCHEDULE!$B:$B,"Group G",SCHEDULE!$F:$F,A21,SCHEDULE!$G:$G,"&lt;&gt;")</f>
        <v>0</v>
      </c>
      <c r="C21" s="6">
        <f>COUNTIFS(SCHEDULE!$B:$B,"Group G",SCHEDULE!$D:$D,A21,SCHEDULE!$G:$G,A21)+COUNTIFS(SCHEDULE!$B:$B,"Group G",SCHEDULE!$F:$F,A21,SCHEDULE!$G:$G,A21)</f>
        <v>0</v>
      </c>
      <c r="D21" s="6">
        <f>COUNTIFS(SCHEDULE!$B:$B,"Group G",SCHEDULE!$D:$D,A21,SCHEDULE!$G:$G,"Draw")+COUNTIFS(SCHEDULE!$B:$B,"Group G",SCHEDULE!$F:$F,A21,SCHEDULE!$G:$G,"Draw")</f>
        <v>0</v>
      </c>
      <c r="E21" s="6">
        <f>B21-C21-D21</f>
        <v>0</v>
      </c>
      <c r="F21" s="6">
        <v>0</v>
      </c>
      <c r="G21" s="2">
        <f>C21*3+D21</f>
        <v>0</v>
      </c>
      <c r="H21" s="6" t="str">
        <f>IF(B21=0,"?",RANK(G21,$G$20:$G$23,0))</f>
        <v>?</v>
      </c>
      <c r="I21" s="2" t="str">
        <f>IF(B21=3,H21,"")</f>
        <v/>
      </c>
    </row>
    <row r="22" spans="1:9" ht="15" customHeight="1" x14ac:dyDescent="0.35">
      <c r="A22" s="3" t="s">
        <v>83</v>
      </c>
      <c r="B22" s="6">
        <f>COUNTIFS(SCHEDULE!$B:$B,"Group G",SCHEDULE!$D:$D,A22,SCHEDULE!$G:$G,"&lt;&gt;")+COUNTIFS(SCHEDULE!$B:$B,"Group G",SCHEDULE!$F:$F,A22,SCHEDULE!$G:$G,"&lt;&gt;")</f>
        <v>0</v>
      </c>
      <c r="C22" s="6">
        <f>COUNTIFS(SCHEDULE!$B:$B,"Group G",SCHEDULE!$D:$D,A22,SCHEDULE!$G:$G,A22)+COUNTIFS(SCHEDULE!$B:$B,"Group G",SCHEDULE!$F:$F,A22,SCHEDULE!$G:$G,A22)</f>
        <v>0</v>
      </c>
      <c r="D22" s="6">
        <f>COUNTIFS(SCHEDULE!$B:$B,"Group G",SCHEDULE!$D:$D,A22,SCHEDULE!$G:$G,"Draw")+COUNTIFS(SCHEDULE!$B:$B,"Group G",SCHEDULE!$F:$F,A22,SCHEDULE!$G:$G,"Draw")</f>
        <v>0</v>
      </c>
      <c r="E22" s="6">
        <f>B22-C22-D22</f>
        <v>0</v>
      </c>
      <c r="F22" s="6">
        <v>0</v>
      </c>
      <c r="G22" s="2">
        <f>C22*3+D22</f>
        <v>0</v>
      </c>
      <c r="H22" s="6" t="str">
        <f>IF(B22=0,"?",RANK(G22,$G$20:$G$23,0))</f>
        <v>?</v>
      </c>
      <c r="I22" s="2" t="str">
        <f>IF(B22=3,H22,"")</f>
        <v/>
      </c>
    </row>
    <row r="23" spans="1:9" ht="15" customHeight="1" x14ac:dyDescent="0.35">
      <c r="A23" s="3" t="s">
        <v>84</v>
      </c>
      <c r="B23" s="6">
        <f>COUNTIFS(SCHEDULE!$B:$B,"Group G",SCHEDULE!$D:$D,A23,SCHEDULE!$G:$G,"&lt;&gt;")+COUNTIFS(SCHEDULE!$B:$B,"Group G",SCHEDULE!$F:$F,A23,SCHEDULE!$G:$G,"&lt;&gt;")</f>
        <v>0</v>
      </c>
      <c r="C23" s="6">
        <f>COUNTIFS(SCHEDULE!$B:$B,"Group G",SCHEDULE!$D:$D,A23,SCHEDULE!$G:$G,A23)+COUNTIFS(SCHEDULE!$B:$B,"Group G",SCHEDULE!$F:$F,A23,SCHEDULE!$G:$G,A23)</f>
        <v>0</v>
      </c>
      <c r="D23" s="6">
        <f>COUNTIFS(SCHEDULE!$B:$B,"Group G",SCHEDULE!$D:$D,A23,SCHEDULE!$G:$G,"Draw")+COUNTIFS(SCHEDULE!$B:$B,"Group G",SCHEDULE!$F:$F,A23,SCHEDULE!$G:$G,"Draw")</f>
        <v>0</v>
      </c>
      <c r="E23" s="6">
        <f>B23-C23-D23</f>
        <v>0</v>
      </c>
      <c r="F23" s="6">
        <v>0</v>
      </c>
      <c r="G23" s="2">
        <f>C23*3+D23</f>
        <v>0</v>
      </c>
      <c r="H23" s="6" t="str">
        <f>IF(B23=0,"?",RANK(G23,$G$20:$G$23,0))</f>
        <v>?</v>
      </c>
      <c r="I23" s="2" t="str">
        <f>IF(B23=3,H23,"")</f>
        <v/>
      </c>
    </row>
    <row r="25" spans="1:9" ht="15" customHeight="1" x14ac:dyDescent="0.35">
      <c r="A25" s="66" t="s">
        <v>394</v>
      </c>
      <c r="B25" s="66"/>
      <c r="C25" s="66"/>
      <c r="D25" s="66"/>
      <c r="E25" s="66"/>
      <c r="F25" s="66"/>
      <c r="G25" s="66"/>
      <c r="H25" s="66"/>
      <c r="I25" s="66"/>
    </row>
    <row r="26" spans="1:9" ht="15" customHeight="1" x14ac:dyDescent="0.35">
      <c r="A26" s="1" t="s">
        <v>356</v>
      </c>
      <c r="B26" s="1" t="s">
        <v>385</v>
      </c>
      <c r="C26" s="1" t="s">
        <v>386</v>
      </c>
      <c r="D26" s="1" t="s">
        <v>359</v>
      </c>
      <c r="E26" s="1" t="s">
        <v>369</v>
      </c>
      <c r="F26" s="1" t="s">
        <v>387</v>
      </c>
      <c r="G26" s="1" t="s">
        <v>388</v>
      </c>
      <c r="H26" s="1" t="s">
        <v>389</v>
      </c>
      <c r="I26" s="1" t="s">
        <v>390</v>
      </c>
    </row>
    <row r="27" spans="1:9" ht="15" customHeight="1" x14ac:dyDescent="0.35">
      <c r="A27" s="3" t="s">
        <v>70</v>
      </c>
      <c r="B27" s="6">
        <f>COUNTIFS(SCHEDULE!$B:$B,"Group H",SCHEDULE!$D:$D,A27,SCHEDULE!$G:$G,"&lt;&gt;")+COUNTIFS(SCHEDULE!$B:$B,"Group H",SCHEDULE!$F:$F,A27,SCHEDULE!$G:$G,"&lt;&gt;")</f>
        <v>0</v>
      </c>
      <c r="C27" s="6">
        <f>COUNTIFS(SCHEDULE!$B:$B,"Group H",SCHEDULE!$D:$D,A27,SCHEDULE!$G:$G,A27)+COUNTIFS(SCHEDULE!$B:$B,"Group H",SCHEDULE!$F:$F,A27,SCHEDULE!$G:$G,A27)</f>
        <v>0</v>
      </c>
      <c r="D27" s="6">
        <f>COUNTIFS(SCHEDULE!$B:$B,"Group H",SCHEDULE!$D:$D,A27,SCHEDULE!$G:$G,"Draw")+COUNTIFS(SCHEDULE!$B:$B,"Group H",SCHEDULE!$F:$F,A27,SCHEDULE!$G:$G,"Draw")</f>
        <v>0</v>
      </c>
      <c r="E27" s="6">
        <f>B27-C27-D27</f>
        <v>0</v>
      </c>
      <c r="F27" s="6">
        <v>0</v>
      </c>
      <c r="G27" s="2">
        <f>C27*3+D27</f>
        <v>0</v>
      </c>
      <c r="H27" s="6" t="str">
        <f>IF(B27=0,"?",RANK(G27,$G$27:$G$30,0))</f>
        <v>?</v>
      </c>
      <c r="I27" s="2" t="str">
        <f>IF(B27=3,H27,"")</f>
        <v/>
      </c>
    </row>
    <row r="28" spans="1:9" ht="15" customHeight="1" x14ac:dyDescent="0.35">
      <c r="A28" s="3" t="s">
        <v>80</v>
      </c>
      <c r="B28" s="6">
        <f>COUNTIFS(SCHEDULE!$B:$B,"Group H",SCHEDULE!$D:$D,A28,SCHEDULE!$G:$G,"&lt;&gt;")+COUNTIFS(SCHEDULE!$B:$B,"Group H",SCHEDULE!$F:$F,A28,SCHEDULE!$G:$G,"&lt;&gt;")</f>
        <v>0</v>
      </c>
      <c r="C28" s="6">
        <f>COUNTIFS(SCHEDULE!$B:$B,"Group H",SCHEDULE!$D:$D,A28,SCHEDULE!$G:$G,A28)+COUNTIFS(SCHEDULE!$B:$B,"Group H",SCHEDULE!$F:$F,A28,SCHEDULE!$G:$G,A28)</f>
        <v>0</v>
      </c>
      <c r="D28" s="6">
        <f>COUNTIFS(SCHEDULE!$B:$B,"Group H",SCHEDULE!$D:$D,A28,SCHEDULE!$G:$G,"Draw")+COUNTIFS(SCHEDULE!$B:$B,"Group H",SCHEDULE!$F:$F,A28,SCHEDULE!$G:$G,"Draw")</f>
        <v>0</v>
      </c>
      <c r="E28" s="6">
        <f>B28-C28-D28</f>
        <v>0</v>
      </c>
      <c r="F28" s="6">
        <v>0</v>
      </c>
      <c r="G28" s="2">
        <f>C28*3+D28</f>
        <v>0</v>
      </c>
      <c r="H28" s="6" t="str">
        <f>IF(B28=0,"?",RANK(G28,$G$27:$G$30,0))</f>
        <v>?</v>
      </c>
      <c r="I28" s="2" t="str">
        <f>IF(B28=3,H28,"")</f>
        <v/>
      </c>
    </row>
    <row r="29" spans="1:9" ht="15" customHeight="1" x14ac:dyDescent="0.35">
      <c r="A29" s="3" t="s">
        <v>79</v>
      </c>
      <c r="B29" s="6">
        <f>COUNTIFS(SCHEDULE!$B:$B,"Group H",SCHEDULE!$D:$D,A29,SCHEDULE!$G:$G,"&lt;&gt;")+COUNTIFS(SCHEDULE!$B:$B,"Group H",SCHEDULE!$F:$F,A29,SCHEDULE!$G:$G,"&lt;&gt;")</f>
        <v>0</v>
      </c>
      <c r="C29" s="6">
        <f>COUNTIFS(SCHEDULE!$B:$B,"Group H",SCHEDULE!$D:$D,A29,SCHEDULE!$G:$G,A29)+COUNTIFS(SCHEDULE!$B:$B,"Group H",SCHEDULE!$F:$F,A29,SCHEDULE!$G:$G,A29)</f>
        <v>0</v>
      </c>
      <c r="D29" s="6">
        <f>COUNTIFS(SCHEDULE!$B:$B,"Group H",SCHEDULE!$D:$D,A29,SCHEDULE!$G:$G,"Draw")+COUNTIFS(SCHEDULE!$B:$B,"Group H",SCHEDULE!$F:$F,A29,SCHEDULE!$G:$G,"Draw")</f>
        <v>0</v>
      </c>
      <c r="E29" s="6">
        <f>B29-C29-D29</f>
        <v>0</v>
      </c>
      <c r="F29" s="6">
        <v>0</v>
      </c>
      <c r="G29" s="2">
        <f>C29*3+D29</f>
        <v>0</v>
      </c>
      <c r="H29" s="6" t="str">
        <f>IF(B29=0,"?",RANK(G29,$G$27:$G$30,0))</f>
        <v>?</v>
      </c>
      <c r="I29" s="2" t="str">
        <f>IF(B29=3,H29,"")</f>
        <v/>
      </c>
    </row>
    <row r="30" spans="1:9" ht="15" customHeight="1" x14ac:dyDescent="0.35">
      <c r="A30" s="3" t="s">
        <v>71</v>
      </c>
      <c r="B30" s="6">
        <f>COUNTIFS(SCHEDULE!$B:$B,"Group H",SCHEDULE!$D:$D,A30,SCHEDULE!$G:$G,"&lt;&gt;")+COUNTIFS(SCHEDULE!$B:$B,"Group H",SCHEDULE!$F:$F,A30,SCHEDULE!$G:$G,"&lt;&gt;")</f>
        <v>0</v>
      </c>
      <c r="C30" s="6">
        <f>COUNTIFS(SCHEDULE!$B:$B,"Group H",SCHEDULE!$D:$D,A30,SCHEDULE!$G:$G,A30)+COUNTIFS(SCHEDULE!$B:$B,"Group H",SCHEDULE!$F:$F,A30,SCHEDULE!$G:$G,A30)</f>
        <v>0</v>
      </c>
      <c r="D30" s="6">
        <f>COUNTIFS(SCHEDULE!$B:$B,"Group H",SCHEDULE!$D:$D,A30,SCHEDULE!$G:$G,"Draw")+COUNTIFS(SCHEDULE!$B:$B,"Group H",SCHEDULE!$F:$F,A30,SCHEDULE!$G:$G,"Draw")</f>
        <v>0</v>
      </c>
      <c r="E30" s="6">
        <f>B30-C30-D30</f>
        <v>0</v>
      </c>
      <c r="F30" s="6">
        <v>0</v>
      </c>
      <c r="G30" s="2">
        <f>C30*3+D30</f>
        <v>0</v>
      </c>
      <c r="H30" s="6" t="str">
        <f>IF(B30=0,"?",RANK(G30,$G$27:$G$30,0))</f>
        <v>?</v>
      </c>
      <c r="I30" s="2" t="str">
        <f>IF(B30=3,H30,"")</f>
        <v/>
      </c>
    </row>
    <row r="32" spans="1:9" ht="15" customHeight="1" x14ac:dyDescent="0.35">
      <c r="A32" s="66" t="s">
        <v>395</v>
      </c>
      <c r="B32" s="66"/>
      <c r="C32" s="66"/>
      <c r="D32" s="66"/>
      <c r="E32" s="66"/>
      <c r="F32" s="66"/>
      <c r="G32" s="66"/>
      <c r="H32" s="66"/>
      <c r="I32" s="66"/>
    </row>
    <row r="33" spans="1:9" ht="15" customHeight="1" x14ac:dyDescent="0.35">
      <c r="A33" s="1" t="s">
        <v>356</v>
      </c>
      <c r="B33" s="1" t="s">
        <v>385</v>
      </c>
      <c r="C33" s="1" t="s">
        <v>386</v>
      </c>
      <c r="D33" s="1" t="s">
        <v>359</v>
      </c>
      <c r="E33" s="1" t="s">
        <v>369</v>
      </c>
      <c r="F33" s="1" t="s">
        <v>387</v>
      </c>
      <c r="G33" s="1" t="s">
        <v>388</v>
      </c>
      <c r="H33" s="1" t="s">
        <v>389</v>
      </c>
      <c r="I33" s="1" t="s">
        <v>390</v>
      </c>
    </row>
    <row r="34" spans="1:9" ht="15" customHeight="1" x14ac:dyDescent="0.35">
      <c r="A34" s="3" t="s">
        <v>88</v>
      </c>
      <c r="B34" s="6">
        <f>COUNTIFS(SCHEDULE!$B:$B,"Group I",SCHEDULE!$D:$D,A34,SCHEDULE!$G:$G,"&lt;&gt;")+COUNTIFS(SCHEDULE!$B:$B,"Group I",SCHEDULE!$F:$F,A34,SCHEDULE!$G:$G,"&lt;&gt;")</f>
        <v>0</v>
      </c>
      <c r="C34" s="6">
        <f>COUNTIFS(SCHEDULE!$B:$B,"Group I",SCHEDULE!$D:$D,A34,SCHEDULE!$G:$G,A34)+COUNTIFS(SCHEDULE!$B:$B,"Group I",SCHEDULE!$F:$F,A34,SCHEDULE!$G:$G,A34)</f>
        <v>0</v>
      </c>
      <c r="D34" s="6">
        <f>COUNTIFS(SCHEDULE!$B:$B,"Group I",SCHEDULE!$D:$D,A34,SCHEDULE!$G:$G,"Draw")+COUNTIFS(SCHEDULE!$B:$B,"Group I",SCHEDULE!$F:$F,A34,SCHEDULE!$G:$G,"Draw")</f>
        <v>0</v>
      </c>
      <c r="E34" s="6">
        <f>B34-C34-D34</f>
        <v>0</v>
      </c>
      <c r="F34" s="6">
        <v>0</v>
      </c>
      <c r="G34" s="2">
        <f>C34*3+D34</f>
        <v>0</v>
      </c>
      <c r="H34" s="6" t="str">
        <f>IF(B34=0,"?",RANK(G34,$G$34:$G$37,0))</f>
        <v>?</v>
      </c>
      <c r="I34" s="2" t="str">
        <f>IF(B34=3,H34,"")</f>
        <v/>
      </c>
    </row>
    <row r="35" spans="1:9" ht="15" customHeight="1" x14ac:dyDescent="0.35">
      <c r="A35" s="3" t="s">
        <v>89</v>
      </c>
      <c r="B35" s="6">
        <f>COUNTIFS(SCHEDULE!$B:$B,"Group I",SCHEDULE!$D:$D,A35,SCHEDULE!$G:$G,"&lt;&gt;")+COUNTIFS(SCHEDULE!$B:$B,"Group I",SCHEDULE!$F:$F,A35,SCHEDULE!$G:$G,"&lt;&gt;")</f>
        <v>0</v>
      </c>
      <c r="C35" s="6">
        <f>COUNTIFS(SCHEDULE!$B:$B,"Group I",SCHEDULE!$D:$D,A35,SCHEDULE!$G:$G,A35)+COUNTIFS(SCHEDULE!$B:$B,"Group I",SCHEDULE!$F:$F,A35,SCHEDULE!$G:$G,A35)</f>
        <v>0</v>
      </c>
      <c r="D35" s="6">
        <f>COUNTIFS(SCHEDULE!$B:$B,"Group I",SCHEDULE!$D:$D,A35,SCHEDULE!$G:$G,"Draw")+COUNTIFS(SCHEDULE!$B:$B,"Group I",SCHEDULE!$F:$F,A35,SCHEDULE!$G:$G,"Draw")</f>
        <v>0</v>
      </c>
      <c r="E35" s="6">
        <f>B35-C35-D35</f>
        <v>0</v>
      </c>
      <c r="F35" s="6">
        <v>0</v>
      </c>
      <c r="G35" s="2">
        <f>C35*3+D35</f>
        <v>0</v>
      </c>
      <c r="H35" s="6" t="str">
        <f>IF(B35=0,"?",RANK(G35,$G$34:$G$37,0))</f>
        <v>?</v>
      </c>
      <c r="I35" s="2" t="str">
        <f>IF(B35=3,H35,"")</f>
        <v/>
      </c>
    </row>
    <row r="36" spans="1:9" ht="15" customHeight="1" x14ac:dyDescent="0.35">
      <c r="A36" s="3" t="s">
        <v>92</v>
      </c>
      <c r="B36" s="6">
        <f>COUNTIFS(SCHEDULE!$B:$B,"Group I",SCHEDULE!$D:$D,A36,SCHEDULE!$G:$G,"&lt;&gt;")+COUNTIFS(SCHEDULE!$B:$B,"Group I",SCHEDULE!$F:$F,A36,SCHEDULE!$G:$G,"&lt;&gt;")</f>
        <v>0</v>
      </c>
      <c r="C36" s="6">
        <f>COUNTIFS(SCHEDULE!$B:$B,"Group I",SCHEDULE!$D:$D,A36,SCHEDULE!$G:$G,A36)+COUNTIFS(SCHEDULE!$B:$B,"Group I",SCHEDULE!$F:$F,A36,SCHEDULE!$G:$G,A36)</f>
        <v>0</v>
      </c>
      <c r="D36" s="6">
        <f>COUNTIFS(SCHEDULE!$B:$B,"Group I",SCHEDULE!$D:$D,A36,SCHEDULE!$G:$G,"Draw")+COUNTIFS(SCHEDULE!$B:$B,"Group I",SCHEDULE!$F:$F,A36,SCHEDULE!$G:$G,"Draw")</f>
        <v>0</v>
      </c>
      <c r="E36" s="6">
        <f>B36-C36-D36</f>
        <v>0</v>
      </c>
      <c r="F36" s="6">
        <v>0</v>
      </c>
      <c r="G36" s="2">
        <f>C36*3+D36</f>
        <v>0</v>
      </c>
      <c r="H36" s="6" t="str">
        <f>IF(B36=0,"?",RANK(G36,$G$34:$G$37,0))</f>
        <v>?</v>
      </c>
      <c r="I36" s="2" t="str">
        <f>IF(B36=3,H36,"")</f>
        <v/>
      </c>
    </row>
    <row r="37" spans="1:9" ht="15" customHeight="1" x14ac:dyDescent="0.35">
      <c r="A37" s="3" t="s">
        <v>365</v>
      </c>
      <c r="B37" s="6">
        <f>COUNTIFS(SCHEDULE!$B:$B,"Group I",SCHEDULE!$D:$D,A37,SCHEDULE!$G:$G,"&lt;&gt;")+COUNTIFS(SCHEDULE!$B:$B,"Group I",SCHEDULE!$F:$F,A37,SCHEDULE!$G:$G,"&lt;&gt;")</f>
        <v>0</v>
      </c>
      <c r="C37" s="6">
        <f>COUNTIFS(SCHEDULE!$B:$B,"Group I",SCHEDULE!$D:$D,A37,SCHEDULE!$G:$G,A37)+COUNTIFS(SCHEDULE!$B:$B,"Group I",SCHEDULE!$F:$F,A37,SCHEDULE!$G:$G,A37)</f>
        <v>0</v>
      </c>
      <c r="D37" s="6">
        <f>COUNTIFS(SCHEDULE!$B:$B,"Group I",SCHEDULE!$D:$D,A37,SCHEDULE!$G:$G,"Draw")+COUNTIFS(SCHEDULE!$B:$B,"Group I",SCHEDULE!$F:$F,A37,SCHEDULE!$G:$G,"Draw")</f>
        <v>0</v>
      </c>
      <c r="E37" s="6">
        <f>B37-C37-D37</f>
        <v>0</v>
      </c>
      <c r="F37" s="6">
        <v>0</v>
      </c>
      <c r="G37" s="2">
        <f>C37*3+D37</f>
        <v>0</v>
      </c>
      <c r="H37" s="6" t="str">
        <f>IF(B37=0,"?",RANK(G37,$G$34:$G$37,0))</f>
        <v>?</v>
      </c>
      <c r="I37" s="2" t="str">
        <f>IF(B37=3,H37,"")</f>
        <v/>
      </c>
    </row>
    <row r="39" spans="1:9" ht="15" customHeight="1" x14ac:dyDescent="0.35">
      <c r="A39" s="66" t="s">
        <v>396</v>
      </c>
      <c r="B39" s="66"/>
      <c r="C39" s="66"/>
      <c r="D39" s="66"/>
      <c r="E39" s="66"/>
      <c r="F39" s="66"/>
      <c r="G39" s="66"/>
      <c r="H39" s="66"/>
      <c r="I39" s="66"/>
    </row>
    <row r="40" spans="1:9" ht="15" customHeight="1" x14ac:dyDescent="0.35">
      <c r="A40" s="1" t="s">
        <v>356</v>
      </c>
      <c r="B40" s="1" t="s">
        <v>385</v>
      </c>
      <c r="C40" s="1" t="s">
        <v>386</v>
      </c>
      <c r="D40" s="1" t="s">
        <v>359</v>
      </c>
      <c r="E40" s="1" t="s">
        <v>369</v>
      </c>
      <c r="F40" s="1" t="s">
        <v>387</v>
      </c>
      <c r="G40" s="1" t="s">
        <v>388</v>
      </c>
      <c r="H40" s="1" t="s">
        <v>389</v>
      </c>
      <c r="I40" s="1" t="s">
        <v>390</v>
      </c>
    </row>
    <row r="41" spans="1:9" ht="15" customHeight="1" x14ac:dyDescent="0.35">
      <c r="A41" s="3" t="s">
        <v>96</v>
      </c>
      <c r="B41" s="6">
        <f>COUNTIFS(SCHEDULE!$B:$B,"Group J",SCHEDULE!$D:$D,A41,SCHEDULE!$G:$G,"&lt;&gt;")+COUNTIFS(SCHEDULE!$B:$B,"Group J",SCHEDULE!$F:$F,A41,SCHEDULE!$G:$G,"&lt;&gt;")</f>
        <v>0</v>
      </c>
      <c r="C41" s="6">
        <f>COUNTIFS(SCHEDULE!$B:$B,"Group J",SCHEDULE!$D:$D,A41,SCHEDULE!$G:$G,A41)+COUNTIFS(SCHEDULE!$B:$B,"Group J",SCHEDULE!$F:$F,A41,SCHEDULE!$G:$G,A41)</f>
        <v>0</v>
      </c>
      <c r="D41" s="6">
        <f>COUNTIFS(SCHEDULE!$B:$B,"Group J",SCHEDULE!$D:$D,A41,SCHEDULE!$G:$G,"Draw")+COUNTIFS(SCHEDULE!$B:$B,"Group J",SCHEDULE!$F:$F,A41,SCHEDULE!$G:$G,"Draw")</f>
        <v>0</v>
      </c>
      <c r="E41" s="6">
        <f>B41-C41-D41</f>
        <v>0</v>
      </c>
      <c r="F41" s="6">
        <v>0</v>
      </c>
      <c r="G41" s="2">
        <f>C41*3+D41</f>
        <v>0</v>
      </c>
      <c r="H41" s="6" t="str">
        <f>IF(B41=0,"?",RANK(G41,$G$41:$G$44,0))</f>
        <v>?</v>
      </c>
      <c r="I41" s="2" t="str">
        <f>IF(B41=3,H41,"")</f>
        <v/>
      </c>
    </row>
    <row r="42" spans="1:9" ht="15" customHeight="1" x14ac:dyDescent="0.35">
      <c r="A42" s="3" t="s">
        <v>100</v>
      </c>
      <c r="B42" s="6">
        <f>COUNTIFS(SCHEDULE!$B:$B,"Group J",SCHEDULE!$D:$D,A42,SCHEDULE!$G:$G,"&lt;&gt;")+COUNTIFS(SCHEDULE!$B:$B,"Group J",SCHEDULE!$F:$F,A42,SCHEDULE!$G:$G,"&lt;&gt;")</f>
        <v>0</v>
      </c>
      <c r="C42" s="6">
        <f>COUNTIFS(SCHEDULE!$B:$B,"Group J",SCHEDULE!$D:$D,A42,SCHEDULE!$G:$G,A42)+COUNTIFS(SCHEDULE!$B:$B,"Group J",SCHEDULE!$F:$F,A42,SCHEDULE!$G:$G,A42)</f>
        <v>0</v>
      </c>
      <c r="D42" s="6">
        <f>COUNTIFS(SCHEDULE!$B:$B,"Group J",SCHEDULE!$D:$D,A42,SCHEDULE!$G:$G,"Draw")+COUNTIFS(SCHEDULE!$B:$B,"Group J",SCHEDULE!$F:$F,A42,SCHEDULE!$G:$G,"Draw")</f>
        <v>0</v>
      </c>
      <c r="E42" s="6">
        <f>B42-C42-D42</f>
        <v>0</v>
      </c>
      <c r="F42" s="6">
        <v>0</v>
      </c>
      <c r="G42" s="2">
        <f>C42*3+D42</f>
        <v>0</v>
      </c>
      <c r="H42" s="6" t="str">
        <f>IF(B42=0,"?",RANK(G42,$G$41:$G$44,0))</f>
        <v>?</v>
      </c>
      <c r="I42" s="2" t="str">
        <f>IF(B42=3,H42,"")</f>
        <v/>
      </c>
    </row>
    <row r="43" spans="1:9" ht="15" customHeight="1" x14ac:dyDescent="0.35">
      <c r="A43" s="3" t="s">
        <v>101</v>
      </c>
      <c r="B43" s="6">
        <f>COUNTIFS(SCHEDULE!$B:$B,"Group J",SCHEDULE!$D:$D,A43,SCHEDULE!$G:$G,"&lt;&gt;")+COUNTIFS(SCHEDULE!$B:$B,"Group J",SCHEDULE!$F:$F,A43,SCHEDULE!$G:$G,"&lt;&gt;")</f>
        <v>0</v>
      </c>
      <c r="C43" s="6">
        <f>COUNTIFS(SCHEDULE!$B:$B,"Group J",SCHEDULE!$D:$D,A43,SCHEDULE!$G:$G,A43)+COUNTIFS(SCHEDULE!$B:$B,"Group J",SCHEDULE!$F:$F,A43,SCHEDULE!$G:$G,A43)</f>
        <v>0</v>
      </c>
      <c r="D43" s="6">
        <f>COUNTIFS(SCHEDULE!$B:$B,"Group J",SCHEDULE!$D:$D,A43,SCHEDULE!$G:$G,"Draw")+COUNTIFS(SCHEDULE!$B:$B,"Group J",SCHEDULE!$F:$F,A43,SCHEDULE!$G:$G,"Draw")</f>
        <v>0</v>
      </c>
      <c r="E43" s="6">
        <f>B43-C43-D43</f>
        <v>0</v>
      </c>
      <c r="F43" s="6">
        <v>0</v>
      </c>
      <c r="G43" s="2">
        <f>C43*3+D43</f>
        <v>0</v>
      </c>
      <c r="H43" s="6" t="str">
        <f>IF(B43=0,"?",RANK(G43,$G$41:$G$44,0))</f>
        <v>?</v>
      </c>
      <c r="I43" s="2" t="str">
        <f>IF(B43=3,H43,"")</f>
        <v/>
      </c>
    </row>
    <row r="44" spans="1:9" ht="15" customHeight="1" x14ac:dyDescent="0.35">
      <c r="A44" s="3" t="s">
        <v>97</v>
      </c>
      <c r="B44" s="6">
        <f>COUNTIFS(SCHEDULE!$B:$B,"Group J",SCHEDULE!$D:$D,A44,SCHEDULE!$G:$G,"&lt;&gt;")+COUNTIFS(SCHEDULE!$B:$B,"Group J",SCHEDULE!$F:$F,A44,SCHEDULE!$G:$G,"&lt;&gt;")</f>
        <v>0</v>
      </c>
      <c r="C44" s="6">
        <f>COUNTIFS(SCHEDULE!$B:$B,"Group J",SCHEDULE!$D:$D,A44,SCHEDULE!$G:$G,A44)+COUNTIFS(SCHEDULE!$B:$B,"Group J",SCHEDULE!$F:$F,A44,SCHEDULE!$G:$G,A44)</f>
        <v>0</v>
      </c>
      <c r="D44" s="6">
        <f>COUNTIFS(SCHEDULE!$B:$B,"Group J",SCHEDULE!$D:$D,A44,SCHEDULE!$G:$G,"Draw")+COUNTIFS(SCHEDULE!$B:$B,"Group J",SCHEDULE!$F:$F,A44,SCHEDULE!$G:$G,"Draw")</f>
        <v>0</v>
      </c>
      <c r="E44" s="6">
        <f>B44-C44-D44</f>
        <v>0</v>
      </c>
      <c r="F44" s="6">
        <v>0</v>
      </c>
      <c r="G44" s="2">
        <f>C44*3+D44</f>
        <v>0</v>
      </c>
      <c r="H44" s="6" t="str">
        <f>IF(B44=0,"?",RANK(G44,$G$41:$G$44,0))</f>
        <v>?</v>
      </c>
      <c r="I44" s="2" t="str">
        <f>IF(B44=3,H44,"")</f>
        <v/>
      </c>
    </row>
    <row r="46" spans="1:9" ht="15" customHeight="1" x14ac:dyDescent="0.35">
      <c r="A46" s="66" t="s">
        <v>397</v>
      </c>
      <c r="B46" s="66"/>
      <c r="C46" s="66"/>
      <c r="D46" s="66"/>
      <c r="E46" s="66"/>
      <c r="F46" s="66"/>
      <c r="G46" s="66"/>
      <c r="H46" s="66"/>
      <c r="I46" s="66"/>
    </row>
    <row r="47" spans="1:9" ht="15" customHeight="1" x14ac:dyDescent="0.35">
      <c r="A47" s="1" t="s">
        <v>356</v>
      </c>
      <c r="B47" s="1" t="s">
        <v>385</v>
      </c>
      <c r="C47" s="1" t="s">
        <v>386</v>
      </c>
      <c r="D47" s="1" t="s">
        <v>359</v>
      </c>
      <c r="E47" s="1" t="s">
        <v>369</v>
      </c>
      <c r="F47" s="1" t="s">
        <v>387</v>
      </c>
      <c r="G47" s="1" t="s">
        <v>388</v>
      </c>
      <c r="H47" s="1" t="s">
        <v>389</v>
      </c>
      <c r="I47" s="1" t="s">
        <v>390</v>
      </c>
    </row>
    <row r="48" spans="1:9" ht="15" customHeight="1" x14ac:dyDescent="0.35">
      <c r="A48" s="3" t="s">
        <v>105</v>
      </c>
      <c r="B48" s="6">
        <f>COUNTIFS(SCHEDULE!$B:$B,"Group K",SCHEDULE!$D:$D,A48,SCHEDULE!$G:$G,"&lt;&gt;")+COUNTIFS(SCHEDULE!$B:$B,"Group K",SCHEDULE!$F:$F,A48,SCHEDULE!$G:$G,"&lt;&gt;")</f>
        <v>0</v>
      </c>
      <c r="C48" s="6">
        <f>COUNTIFS(SCHEDULE!$B:$B,"Group K",SCHEDULE!$D:$D,A48,SCHEDULE!$G:$G,A48)+COUNTIFS(SCHEDULE!$B:$B,"Group K",SCHEDULE!$F:$F,A48,SCHEDULE!$G:$G,A48)</f>
        <v>0</v>
      </c>
      <c r="D48" s="6">
        <f>COUNTIFS(SCHEDULE!$B:$B,"Group K",SCHEDULE!$D:$D,A48,SCHEDULE!$G:$G,"Draw")+COUNTIFS(SCHEDULE!$B:$B,"Group K",SCHEDULE!$F:$F,A48,SCHEDULE!$G:$G,"Draw")</f>
        <v>0</v>
      </c>
      <c r="E48" s="6">
        <f>B48-C48-D48</f>
        <v>0</v>
      </c>
      <c r="F48" s="6">
        <v>0</v>
      </c>
      <c r="G48" s="2">
        <f>C48*3+D48</f>
        <v>0</v>
      </c>
      <c r="H48" s="6" t="str">
        <f>IF(B48=0,"?",RANK(G48,$G$48:$G$51,0))</f>
        <v>?</v>
      </c>
      <c r="I48" s="2" t="str">
        <f>IF(B48=3,H48,"")</f>
        <v/>
      </c>
    </row>
    <row r="49" spans="1:9" ht="15" customHeight="1" x14ac:dyDescent="0.35">
      <c r="A49" s="3" t="s">
        <v>116</v>
      </c>
      <c r="B49" s="6">
        <f>COUNTIFS(SCHEDULE!$B:$B,"Group K",SCHEDULE!$D:$D,A49,SCHEDULE!$G:$G,"&lt;&gt;")+COUNTIFS(SCHEDULE!$B:$B,"Group K",SCHEDULE!$F:$F,A49,SCHEDULE!$G:$G,"&lt;&gt;")</f>
        <v>0</v>
      </c>
      <c r="C49" s="6">
        <f>COUNTIFS(SCHEDULE!$B:$B,"Group K",SCHEDULE!$D:$D,A49,SCHEDULE!$G:$G,A49)+COUNTIFS(SCHEDULE!$B:$B,"Group K",SCHEDULE!$F:$F,A49,SCHEDULE!$G:$G,A49)</f>
        <v>0</v>
      </c>
      <c r="D49" s="6">
        <f>COUNTIFS(SCHEDULE!$B:$B,"Group K",SCHEDULE!$D:$D,A49,SCHEDULE!$G:$G,"Draw")+COUNTIFS(SCHEDULE!$B:$B,"Group K",SCHEDULE!$F:$F,A49,SCHEDULE!$G:$G,"Draw")</f>
        <v>0</v>
      </c>
      <c r="E49" s="6">
        <f>B49-C49-D49</f>
        <v>0</v>
      </c>
      <c r="F49" s="6">
        <v>0</v>
      </c>
      <c r="G49" s="2">
        <f>C49*3+D49</f>
        <v>0</v>
      </c>
      <c r="H49" s="6" t="str">
        <f>IF(B49=0,"?",RANK(G49,$G$48:$G$51,0))</f>
        <v>?</v>
      </c>
      <c r="I49" s="2" t="str">
        <f>IF(B49=3,H49,"")</f>
        <v/>
      </c>
    </row>
    <row r="50" spans="1:9" ht="15" customHeight="1" x14ac:dyDescent="0.35">
      <c r="A50" s="3" t="s">
        <v>115</v>
      </c>
      <c r="B50" s="6">
        <f>COUNTIFS(SCHEDULE!$B:$B,"Group K",SCHEDULE!$D:$D,A50,SCHEDULE!$G:$G,"&lt;&gt;")+COUNTIFS(SCHEDULE!$B:$B,"Group K",SCHEDULE!$F:$F,A50,SCHEDULE!$G:$G,"&lt;&gt;")</f>
        <v>0</v>
      </c>
      <c r="C50" s="6">
        <f>COUNTIFS(SCHEDULE!$B:$B,"Group K",SCHEDULE!$D:$D,A50,SCHEDULE!$G:$G,A50)+COUNTIFS(SCHEDULE!$B:$B,"Group K",SCHEDULE!$F:$F,A50,SCHEDULE!$G:$G,A50)</f>
        <v>0</v>
      </c>
      <c r="D50" s="6">
        <f>COUNTIFS(SCHEDULE!$B:$B,"Group K",SCHEDULE!$D:$D,A50,SCHEDULE!$G:$G,"Draw")+COUNTIFS(SCHEDULE!$B:$B,"Group K",SCHEDULE!$F:$F,A50,SCHEDULE!$G:$G,"Draw")</f>
        <v>0</v>
      </c>
      <c r="E50" s="6">
        <f>B50-C50-D50</f>
        <v>0</v>
      </c>
      <c r="F50" s="6">
        <v>0</v>
      </c>
      <c r="G50" s="2">
        <f>C50*3+D50</f>
        <v>0</v>
      </c>
      <c r="H50" s="6" t="str">
        <f>IF(B50=0,"?",RANK(G50,$G$48:$G$51,0))</f>
        <v>?</v>
      </c>
      <c r="I50" s="2" t="str">
        <f>IF(B50=3,H50,"")</f>
        <v/>
      </c>
    </row>
    <row r="51" spans="1:9" ht="15" customHeight="1" x14ac:dyDescent="0.35">
      <c r="A51" s="3" t="s">
        <v>368</v>
      </c>
      <c r="B51" s="6">
        <f>COUNTIFS(SCHEDULE!$B:$B,"Group K",SCHEDULE!$D:$D,A51,SCHEDULE!$G:$G,"&lt;&gt;")+COUNTIFS(SCHEDULE!$B:$B,"Group K",SCHEDULE!$F:$F,A51,SCHEDULE!$G:$G,"&lt;&gt;")</f>
        <v>0</v>
      </c>
      <c r="C51" s="6">
        <f>COUNTIFS(SCHEDULE!$B:$B,"Group K",SCHEDULE!$D:$D,A51,SCHEDULE!$G:$G,A51)+COUNTIFS(SCHEDULE!$B:$B,"Group K",SCHEDULE!$F:$F,A51,SCHEDULE!$G:$G,A51)</f>
        <v>0</v>
      </c>
      <c r="D51" s="6">
        <f>COUNTIFS(SCHEDULE!$B:$B,"Group K",SCHEDULE!$D:$D,A51,SCHEDULE!$G:$G,"Draw")+COUNTIFS(SCHEDULE!$B:$B,"Group K",SCHEDULE!$F:$F,A51,SCHEDULE!$G:$G,"Draw")</f>
        <v>0</v>
      </c>
      <c r="E51" s="6">
        <f>B51-C51-D51</f>
        <v>0</v>
      </c>
      <c r="F51" s="6">
        <v>0</v>
      </c>
      <c r="G51" s="2">
        <f>C51*3+D51</f>
        <v>0</v>
      </c>
      <c r="H51" s="6" t="str">
        <f>IF(B51=0,"?",RANK(G51,$G$48:$G$51,0))</f>
        <v>?</v>
      </c>
      <c r="I51" s="2" t="str">
        <f>IF(B51=3,H51,"")</f>
        <v/>
      </c>
    </row>
    <row r="53" spans="1:9" ht="15" customHeight="1" x14ac:dyDescent="0.35">
      <c r="A53" s="66" t="s">
        <v>398</v>
      </c>
      <c r="B53" s="66"/>
      <c r="C53" s="66"/>
      <c r="D53" s="66"/>
      <c r="E53" s="66"/>
      <c r="F53" s="66"/>
      <c r="G53" s="66"/>
      <c r="H53" s="66"/>
      <c r="I53" s="66"/>
    </row>
    <row r="54" spans="1:9" ht="15" customHeight="1" x14ac:dyDescent="0.35">
      <c r="A54" s="1" t="s">
        <v>356</v>
      </c>
      <c r="B54" s="1" t="s">
        <v>385</v>
      </c>
      <c r="C54" s="1" t="s">
        <v>386</v>
      </c>
      <c r="D54" s="1" t="s">
        <v>359</v>
      </c>
      <c r="E54" s="1" t="s">
        <v>369</v>
      </c>
      <c r="F54" s="1" t="s">
        <v>387</v>
      </c>
      <c r="G54" s="1" t="s">
        <v>388</v>
      </c>
      <c r="H54" s="1" t="s">
        <v>389</v>
      </c>
      <c r="I54" s="1" t="s">
        <v>390</v>
      </c>
    </row>
    <row r="55" spans="1:9" ht="15" customHeight="1" x14ac:dyDescent="0.35">
      <c r="A55" s="3" t="s">
        <v>109</v>
      </c>
      <c r="B55" s="6">
        <f>COUNTIFS(SCHEDULE!$B:$B,"Group L",SCHEDULE!$D:$D,A55,SCHEDULE!$G:$G,"&lt;&gt;")+COUNTIFS(SCHEDULE!$B:$B,"Group L",SCHEDULE!$F:$F,A55,SCHEDULE!$G:$G,"&lt;&gt;")</f>
        <v>0</v>
      </c>
      <c r="C55" s="6">
        <f>COUNTIFS(SCHEDULE!$B:$B,"Group L",SCHEDULE!$D:$D,A55,SCHEDULE!$G:$G,A55)+COUNTIFS(SCHEDULE!$B:$B,"Group L",SCHEDULE!$F:$F,A55,SCHEDULE!$G:$G,A55)</f>
        <v>0</v>
      </c>
      <c r="D55" s="6">
        <f>COUNTIFS(SCHEDULE!$B:$B,"Group L",SCHEDULE!$D:$D,A55,SCHEDULE!$G:$G,"Draw")+COUNTIFS(SCHEDULE!$B:$B,"Group L",SCHEDULE!$F:$F,A55,SCHEDULE!$G:$G,"Draw")</f>
        <v>0</v>
      </c>
      <c r="E55" s="6">
        <f>B55-C55-D55</f>
        <v>0</v>
      </c>
      <c r="F55" s="6">
        <v>0</v>
      </c>
      <c r="G55" s="2">
        <f>C55*3+D55</f>
        <v>0</v>
      </c>
      <c r="H55" s="6" t="str">
        <f>IF(B55=0,"?",RANK(G55,$G$55:$G$58,0))</f>
        <v>?</v>
      </c>
      <c r="I55" s="2" t="str">
        <f>IF(B55=3,H55,"")</f>
        <v/>
      </c>
    </row>
    <row r="56" spans="1:9" ht="15" customHeight="1" x14ac:dyDescent="0.35">
      <c r="A56" s="3" t="s">
        <v>110</v>
      </c>
      <c r="B56" s="6">
        <f>COUNTIFS(SCHEDULE!$B:$B,"Group L",SCHEDULE!$D:$D,A56,SCHEDULE!$G:$G,"&lt;&gt;")+COUNTIFS(SCHEDULE!$B:$B,"Group L",SCHEDULE!$F:$F,A56,SCHEDULE!$G:$G,"&lt;&gt;")</f>
        <v>0</v>
      </c>
      <c r="C56" s="6">
        <f>COUNTIFS(SCHEDULE!$B:$B,"Group L",SCHEDULE!$D:$D,A56,SCHEDULE!$G:$G,A56)+COUNTIFS(SCHEDULE!$B:$B,"Group L",SCHEDULE!$F:$F,A56,SCHEDULE!$G:$G,A56)</f>
        <v>0</v>
      </c>
      <c r="D56" s="6">
        <f>COUNTIFS(SCHEDULE!$B:$B,"Group L",SCHEDULE!$D:$D,A56,SCHEDULE!$G:$G,"Draw")+COUNTIFS(SCHEDULE!$B:$B,"Group L",SCHEDULE!$F:$F,A56,SCHEDULE!$G:$G,"Draw")</f>
        <v>0</v>
      </c>
      <c r="E56" s="6">
        <f>B56-C56-D56</f>
        <v>0</v>
      </c>
      <c r="F56" s="6">
        <v>0</v>
      </c>
      <c r="G56" s="2">
        <f>C56*3+D56</f>
        <v>0</v>
      </c>
      <c r="H56" s="6" t="str">
        <f>IF(B56=0,"?",RANK(G56,$G$55:$G$58,0))</f>
        <v>?</v>
      </c>
      <c r="I56" s="2" t="str">
        <f>IF(B56=3,H56,"")</f>
        <v/>
      </c>
    </row>
    <row r="57" spans="1:9" ht="15" customHeight="1" x14ac:dyDescent="0.35">
      <c r="A57" s="3" t="s">
        <v>112</v>
      </c>
      <c r="B57" s="6">
        <f>COUNTIFS(SCHEDULE!$B:$B,"Group L",SCHEDULE!$D:$D,A57,SCHEDULE!$G:$G,"&lt;&gt;")+COUNTIFS(SCHEDULE!$B:$B,"Group L",SCHEDULE!$F:$F,A57,SCHEDULE!$G:$G,"&lt;&gt;")</f>
        <v>0</v>
      </c>
      <c r="C57" s="6">
        <f>COUNTIFS(SCHEDULE!$B:$B,"Group L",SCHEDULE!$D:$D,A57,SCHEDULE!$G:$G,A57)+COUNTIFS(SCHEDULE!$B:$B,"Group L",SCHEDULE!$F:$F,A57,SCHEDULE!$G:$G,A57)</f>
        <v>0</v>
      </c>
      <c r="D57" s="6">
        <f>COUNTIFS(SCHEDULE!$B:$B,"Group L",SCHEDULE!$D:$D,A57,SCHEDULE!$G:$G,"Draw")+COUNTIFS(SCHEDULE!$B:$B,"Group L",SCHEDULE!$F:$F,A57,SCHEDULE!$G:$G,"Draw")</f>
        <v>0</v>
      </c>
      <c r="E57" s="6">
        <f>B57-C57-D57</f>
        <v>0</v>
      </c>
      <c r="F57" s="6">
        <v>0</v>
      </c>
      <c r="G57" s="2">
        <f>C57*3+D57</f>
        <v>0</v>
      </c>
      <c r="H57" s="6" t="str">
        <f>IF(B57=0,"?",RANK(G57,$G$55:$G$58,0))</f>
        <v>?</v>
      </c>
      <c r="I57" s="2" t="str">
        <f>IF(B57=3,H57,"")</f>
        <v/>
      </c>
    </row>
    <row r="58" spans="1:9" ht="15" customHeight="1" x14ac:dyDescent="0.35">
      <c r="A58" s="3" t="s">
        <v>113</v>
      </c>
      <c r="B58" s="6">
        <f>COUNTIFS(SCHEDULE!$B:$B,"Group L",SCHEDULE!$D:$D,A58,SCHEDULE!$G:$G,"&lt;&gt;")+COUNTIFS(SCHEDULE!$B:$B,"Group L",SCHEDULE!$F:$F,A58,SCHEDULE!$G:$G,"&lt;&gt;")</f>
        <v>0</v>
      </c>
      <c r="C58" s="6">
        <f>COUNTIFS(SCHEDULE!$B:$B,"Group L",SCHEDULE!$D:$D,A58,SCHEDULE!$G:$G,A58)+COUNTIFS(SCHEDULE!$B:$B,"Group L",SCHEDULE!$F:$F,A58,SCHEDULE!$G:$G,A58)</f>
        <v>0</v>
      </c>
      <c r="D58" s="6">
        <f>COUNTIFS(SCHEDULE!$B:$B,"Group L",SCHEDULE!$D:$D,A58,SCHEDULE!$G:$G,"Draw")+COUNTIFS(SCHEDULE!$B:$B,"Group L",SCHEDULE!$F:$F,A58,SCHEDULE!$G:$G,"Draw")</f>
        <v>0</v>
      </c>
      <c r="E58" s="6">
        <f>B58-C58-D58</f>
        <v>0</v>
      </c>
      <c r="F58" s="6">
        <v>0</v>
      </c>
      <c r="G58" s="2">
        <f>C58*3+D58</f>
        <v>0</v>
      </c>
      <c r="H58" s="6" t="str">
        <f>IF(B58=0,"?",RANK(G58,$G$55:$G$58,0))</f>
        <v>?</v>
      </c>
      <c r="I58" s="2" t="str">
        <f>IF(B58=3,H58,"")</f>
        <v/>
      </c>
    </row>
  </sheetData>
  <mergeCells count="10">
    <mergeCell ref="A25:I25"/>
    <mergeCell ref="A32:I32"/>
    <mergeCell ref="A39:I39"/>
    <mergeCell ref="A46:I46"/>
    <mergeCell ref="A53:I53"/>
    <mergeCell ref="A1:I1"/>
    <mergeCell ref="A2:I2"/>
    <mergeCell ref="A4:I4"/>
    <mergeCell ref="A11:I11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showGridLines="0" zoomScaleNormal="100" workbookViewId="0">
      <selection sqref="A1:L1"/>
    </sheetView>
  </sheetViews>
  <sheetFormatPr defaultColWidth="8.54296875" defaultRowHeight="14.5" x14ac:dyDescent="0.35"/>
  <cols>
    <col min="1" max="1" width="5" customWidth="1"/>
    <col min="2" max="2" width="14" customWidth="1"/>
    <col min="3" max="3" width="8.7265625" customWidth="1"/>
    <col min="4" max="4" width="10.54296875" customWidth="1"/>
    <col min="5" max="5" width="12.453125" customWidth="1"/>
    <col min="6" max="6" width="19.26953125" customWidth="1"/>
    <col min="7" max="7" width="13.54296875" customWidth="1"/>
    <col min="8" max="8" width="11.1796875" customWidth="1"/>
    <col min="9" max="9" width="13.1796875" customWidth="1"/>
    <col min="10" max="10" width="14.453125" customWidth="1"/>
    <col min="11" max="11" width="9" customWidth="1"/>
  </cols>
  <sheetData>
    <row r="1" spans="1:12" ht="17.25" customHeight="1" x14ac:dyDescent="0.35">
      <c r="A1" s="63" t="s">
        <v>399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15" customHeight="1" x14ac:dyDescent="0.35">
      <c r="A2" s="67" t="s">
        <v>400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15" customHeight="1" x14ac:dyDescent="0.35">
      <c r="A3" s="52" t="s">
        <v>401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5" spans="1:12" ht="15" customHeight="1" x14ac:dyDescent="0.35">
      <c r="A5" s="1" t="s">
        <v>402</v>
      </c>
      <c r="B5" s="1" t="s">
        <v>356</v>
      </c>
      <c r="C5" s="1" t="s">
        <v>403</v>
      </c>
      <c r="D5" s="1" t="s">
        <v>404</v>
      </c>
      <c r="E5" s="1" t="s">
        <v>405</v>
      </c>
      <c r="F5" s="1" t="s">
        <v>406</v>
      </c>
      <c r="G5" s="1" t="s">
        <v>407</v>
      </c>
      <c r="H5" s="1" t="s">
        <v>408</v>
      </c>
      <c r="I5" s="1" t="s">
        <v>409</v>
      </c>
      <c r="J5" s="1" t="s">
        <v>410</v>
      </c>
      <c r="K5" s="1" t="s">
        <v>411</v>
      </c>
    </row>
    <row r="6" spans="1:12" ht="15" customHeight="1" x14ac:dyDescent="0.35">
      <c r="A6" s="2" t="s">
        <v>359</v>
      </c>
      <c r="B6" s="3" t="s">
        <v>27</v>
      </c>
      <c r="C6" s="45">
        <f>INDEX(ODDS!$D$6:$D$44,MATCH(B6,ODDS!$B$6:$B$44,0))</f>
        <v>43.518518518518519</v>
      </c>
      <c r="D6" s="45">
        <f>INDEX(ODDS!$C$49:$C$87,MATCH(B6,ODDS!$B$49:$B$87,0))</f>
        <v>82</v>
      </c>
      <c r="E6" s="45">
        <f>C6/(C6+(SUMIF($A$6:$A$9,$A6,$C$6:$C$9)-C6)/3)</f>
        <v>0.69801980198019797</v>
      </c>
      <c r="F6" s="45">
        <f>D6-C6</f>
        <v>38.481481481481481</v>
      </c>
      <c r="G6" s="47">
        <f>E6*(D6-C6)/(0.67+0.33*E6)/100</f>
        <v>0.29833886231312962</v>
      </c>
      <c r="H6" s="45" t="str">
        <f>POINTS!I6</f>
        <v/>
      </c>
      <c r="I6" s="45">
        <f>IF(H6=1,1,IF(AND(H6&lt;&gt;"",H6&lt;&gt;"?"),0,C6/100))</f>
        <v>0.43518518518518517</v>
      </c>
      <c r="J6" s="47">
        <f>IF(H6=2,1,IF(AND(H6&lt;&gt;"",H6&lt;&gt;"?"),0,G6))</f>
        <v>0.29833886231312962</v>
      </c>
      <c r="K6" s="10" t="str">
        <f>IF(AND(H6&lt;&gt;"",H6&lt;&gt;"?"),"CONFIRMED","Market")</f>
        <v>Market</v>
      </c>
      <c r="L6" s="46"/>
    </row>
    <row r="7" spans="1:12" ht="15" customHeight="1" x14ac:dyDescent="0.35">
      <c r="A7" s="2" t="s">
        <v>359</v>
      </c>
      <c r="B7" s="3" t="s">
        <v>28</v>
      </c>
      <c r="C7" s="45">
        <f>INDEX(ODDS!$D$6:$D$44,MATCH(B7,ODDS!$B$6:$B$44,0))</f>
        <v>21.296296296296298</v>
      </c>
      <c r="D7" s="45">
        <f>INDEX(ODDS!$C$49:$C$87,MATCH(B7,ODDS!$B$49:$B$87,0))</f>
        <v>62</v>
      </c>
      <c r="E7" s="45">
        <f>C7/(C7+(SUMIF($A$6:$A$9,$A7,$C$6:$C$9)-C7)/3)</f>
        <v>0.44805194805194809</v>
      </c>
      <c r="F7" s="45">
        <f>D7-C7</f>
        <v>40.703703703703702</v>
      </c>
      <c r="G7" s="47">
        <f>E7*(D7-C7)/(0.67+0.33*E7)/100</f>
        <v>0.22298972255304128</v>
      </c>
      <c r="H7" s="45" t="str">
        <f>POINTS!I7</f>
        <v/>
      </c>
      <c r="I7" s="45">
        <f>IF(H7=1,1,IF(AND(H7&lt;&gt;"",H7&lt;&gt;"?"),0,C7/100))</f>
        <v>0.21296296296296297</v>
      </c>
      <c r="J7" s="47">
        <f>IF(H7=2,1,IF(AND(H7&lt;&gt;"",H7&lt;&gt;"?"),0,G7))</f>
        <v>0.22298972255304128</v>
      </c>
      <c r="K7" s="10" t="str">
        <f>IF(AND(H7&lt;&gt;"",H7&lt;&gt;"?"),"CONFIRMED","Market")</f>
        <v>Market</v>
      </c>
      <c r="L7" s="46"/>
    </row>
    <row r="8" spans="1:12" ht="15" customHeight="1" x14ac:dyDescent="0.35">
      <c r="A8" s="2" t="s">
        <v>359</v>
      </c>
      <c r="B8" s="3" t="s">
        <v>45</v>
      </c>
      <c r="C8" s="45">
        <f>INDEX(ODDS!$D$6:$D$44,MATCH(B8,ODDS!$B$6:$B$44,0))</f>
        <v>13.888888888888889</v>
      </c>
      <c r="D8" s="45">
        <f>INDEX(ODDS!$C$49:$C$87,MATCH(B8,ODDS!$B$49:$B$87,0))</f>
        <v>48</v>
      </c>
      <c r="E8" s="45">
        <f>C8/(C8+(SUMIF($A$6:$A$9,$A8,$C$6:$C$9)-C8)/3)</f>
        <v>0.32608695652173914</v>
      </c>
      <c r="F8" s="45">
        <f>D8-C8</f>
        <v>34.111111111111114</v>
      </c>
      <c r="G8" s="47">
        <f>E8*(D8-C8)/(0.67+0.33*E8)/100</f>
        <v>0.14304351877737398</v>
      </c>
      <c r="H8" s="45" t="str">
        <f>POINTS!I8</f>
        <v/>
      </c>
      <c r="I8" s="45">
        <f>IF(H8=1,1,IF(AND(H8&lt;&gt;"",H8&lt;&gt;"?"),0,C8/100))</f>
        <v>0.1388888888888889</v>
      </c>
      <c r="J8" s="47">
        <f>IF(H8=2,1,IF(AND(H8&lt;&gt;"",H8&lt;&gt;"?"),0,G8))</f>
        <v>0.14304351877737398</v>
      </c>
      <c r="K8" s="10" t="str">
        <f>IF(AND(H8&lt;&gt;"",H8&lt;&gt;"?"),"CONFIRMED","Market")</f>
        <v>Market</v>
      </c>
      <c r="L8" s="46"/>
    </row>
    <row r="9" spans="1:12" ht="15" customHeight="1" x14ac:dyDescent="0.35">
      <c r="A9" s="2" t="s">
        <v>359</v>
      </c>
      <c r="B9" s="3" t="s">
        <v>360</v>
      </c>
      <c r="C9" s="45">
        <f>INDEX(ODDS!$D$6:$D$44,MATCH(B9,ODDS!$B$6:$B$44,0))</f>
        <v>21.296296296296298</v>
      </c>
      <c r="D9" s="45">
        <f>INDEX(ODDS!$C$49:$C$87,MATCH(B9,ODDS!$B$49:$B$87,0))</f>
        <v>49</v>
      </c>
      <c r="E9" s="45">
        <f>C9/(C9+(SUMIF($A$6:$A$9,$A9,$C$6:$C$9)-C9)/3)</f>
        <v>0.44805194805194809</v>
      </c>
      <c r="F9" s="45">
        <f>D9-C9</f>
        <v>27.703703703703702</v>
      </c>
      <c r="G9" s="47">
        <f>E9*(D9-C9)/(0.67+0.33*E9)/100</f>
        <v>0.15177098495875788</v>
      </c>
      <c r="H9" s="45" t="str">
        <f>POINTS!I9</f>
        <v/>
      </c>
      <c r="I9" s="45">
        <f>IF(H9=1,1,IF(AND(H9&lt;&gt;"",H9&lt;&gt;"?"),0,C9/100))</f>
        <v>0.21296296296296297</v>
      </c>
      <c r="J9" s="47">
        <f>IF(H9=2,1,IF(AND(H9&lt;&gt;"",H9&lt;&gt;"?"),0,G9))</f>
        <v>0.15177098495875788</v>
      </c>
      <c r="K9" s="10" t="str">
        <f>IF(AND(H9&lt;&gt;"",H9&lt;&gt;"?"),"CONFIRMED","Market")</f>
        <v>Market</v>
      </c>
      <c r="L9" s="46"/>
    </row>
    <row r="10" spans="1:12" x14ac:dyDescent="0.35">
      <c r="C10" s="46"/>
      <c r="D10" s="46"/>
      <c r="E10" s="46"/>
      <c r="F10" s="46"/>
      <c r="G10" s="46"/>
      <c r="H10" s="46"/>
      <c r="I10" s="46"/>
      <c r="J10" s="46"/>
    </row>
    <row r="11" spans="1:12" ht="15" customHeight="1" x14ac:dyDescent="0.35">
      <c r="A11" s="2" t="s">
        <v>361</v>
      </c>
      <c r="B11" s="3" t="s">
        <v>51</v>
      </c>
      <c r="C11" s="45">
        <f>INDEX(ODDS!$D$6:$D$44,MATCH(B11,ODDS!$B$6:$B$44,0))</f>
        <v>69.473684210526315</v>
      </c>
      <c r="D11" s="45">
        <f>INDEX(ODDS!$C$49:$C$87,MATCH(B11,ODDS!$B$49:$B$87,0))</f>
        <v>97</v>
      </c>
      <c r="E11" s="45">
        <f>C11/(C11+(SUMIF($A$11:$A$14,$A11,$C$11:$C$14)-C11)/3)</f>
        <v>0.87224669603524219</v>
      </c>
      <c r="F11" s="45">
        <f>D11-C11</f>
        <v>27.526315789473685</v>
      </c>
      <c r="G11" s="47">
        <f>E11*(D11-C11)/(0.67+0.33*E11)/100</f>
        <v>0.25066506582880882</v>
      </c>
      <c r="H11" s="45" t="str">
        <f>POINTS!I13</f>
        <v/>
      </c>
      <c r="I11" s="45">
        <f>IF(H11=1,1,IF(AND(H11&lt;&gt;"",H11&lt;&gt;"?"),0,C11/100))</f>
        <v>0.6947368421052631</v>
      </c>
      <c r="J11" s="47">
        <f>IF(H11=2,1,IF(AND(H11&lt;&gt;"",H11&lt;&gt;"?"),0,G11))</f>
        <v>0.25066506582880882</v>
      </c>
      <c r="K11" s="10" t="str">
        <f>IF(AND(H11&lt;&gt;"",H11&lt;&gt;"?"),"CONFIRMED","Market")</f>
        <v>Market</v>
      </c>
    </row>
    <row r="12" spans="1:12" ht="15" customHeight="1" x14ac:dyDescent="0.35">
      <c r="A12" s="2" t="s">
        <v>361</v>
      </c>
      <c r="B12" s="3" t="s">
        <v>61</v>
      </c>
      <c r="C12" s="45">
        <f>INDEX(ODDS!$D$6:$D$44,MATCH(B12,ODDS!$B$6:$B$44,0))</f>
        <v>18.947368421052634</v>
      </c>
      <c r="D12" s="45">
        <f>INDEX(ODDS!$C$49:$C$87,MATCH(B12,ODDS!$B$49:$B$87,0))</f>
        <v>88</v>
      </c>
      <c r="E12" s="45">
        <f>C12/(C12+(SUMIF($A$11:$A$14,$A12,$C$11:$C$14)-C12)/3)</f>
        <v>0.41221374045801534</v>
      </c>
      <c r="F12" s="45">
        <f>D12-C12</f>
        <v>69.05263157894737</v>
      </c>
      <c r="G12" s="47">
        <f>E12*(D12-C12)/(0.67+0.33*E12)/100</f>
        <v>0.35314348946521057</v>
      </c>
      <c r="H12" s="45" t="str">
        <f>POINTS!I14</f>
        <v/>
      </c>
      <c r="I12" s="45">
        <f>IF(H12=1,1,IF(AND(H12&lt;&gt;"",H12&lt;&gt;"?"),0,C12/100))</f>
        <v>0.18947368421052635</v>
      </c>
      <c r="J12" s="47">
        <f>IF(H12=2,1,IF(AND(H12&lt;&gt;"",H12&lt;&gt;"?"),0,G12))</f>
        <v>0.35314348946521057</v>
      </c>
      <c r="K12" s="10" t="str">
        <f>IF(AND(H12&lt;&gt;"",H12&lt;&gt;"?"),"CONFIRMED","Market")</f>
        <v>Market</v>
      </c>
    </row>
    <row r="13" spans="1:12" ht="15" customHeight="1" x14ac:dyDescent="0.35">
      <c r="A13" s="2" t="s">
        <v>361</v>
      </c>
      <c r="B13" s="3" t="s">
        <v>60</v>
      </c>
      <c r="C13" s="45">
        <f>INDEX(ODDS!$D$6:$D$44,MATCH(B13,ODDS!$B$6:$B$44,0))</f>
        <v>10.526315789473683</v>
      </c>
      <c r="D13" s="45">
        <f>INDEX(ODDS!$C$49:$C$87,MATCH(B13,ODDS!$B$49:$B$87,0))</f>
        <v>73</v>
      </c>
      <c r="E13" s="45">
        <f>C13/(C13+(SUMIF($A$11:$A$14,$A13,$C$11:$C$14)-C13)/3)</f>
        <v>0.2608695652173913</v>
      </c>
      <c r="F13" s="45">
        <f>D13-C13</f>
        <v>62.473684210526315</v>
      </c>
      <c r="G13" s="47">
        <f>E13*(D13-C13)/(0.67+0.33*E13)/100</f>
        <v>0.21555037680457612</v>
      </c>
      <c r="H13" s="45" t="str">
        <f>POINTS!I15</f>
        <v/>
      </c>
      <c r="I13" s="45">
        <f>IF(H13=1,1,IF(AND(H13&lt;&gt;"",H13&lt;&gt;"?"),0,C13/100))</f>
        <v>0.10526315789473684</v>
      </c>
      <c r="J13" s="47">
        <f>IF(H13=2,1,IF(AND(H13&lt;&gt;"",H13&lt;&gt;"?"),0,G13))</f>
        <v>0.21555037680457612</v>
      </c>
      <c r="K13" s="10" t="str">
        <f>IF(AND(H13&lt;&gt;"",H13&lt;&gt;"?"),"CONFIRMED","Market")</f>
        <v>Market</v>
      </c>
    </row>
    <row r="14" spans="1:12" ht="15" customHeight="1" x14ac:dyDescent="0.35">
      <c r="A14" s="2" t="s">
        <v>361</v>
      </c>
      <c r="B14" s="3" t="s">
        <v>52</v>
      </c>
      <c r="C14" s="45">
        <f>INDEX(ODDS!$D$6:$D$44,MATCH(B14,ODDS!$B$6:$B$44,0))</f>
        <v>1.0526315789473684</v>
      </c>
      <c r="D14" s="45">
        <f>INDEX(ODDS!$C$49:$C$87,MATCH(B14,ODDS!$B$49:$B$87,0))</f>
        <v>13</v>
      </c>
      <c r="E14" s="45">
        <f>C14/(C14+(SUMIF($A$11:$A$14,$A14,$C$11:$C$14)-C14)/3)</f>
        <v>3.0927835051546389E-2</v>
      </c>
      <c r="F14" s="45">
        <f>D14-C14</f>
        <v>11.947368421052632</v>
      </c>
      <c r="G14" s="47">
        <f>E14*(D14-C14)/(0.67+0.33*E14)/100</f>
        <v>5.4322681514334479E-3</v>
      </c>
      <c r="H14" s="45" t="str">
        <f>POINTS!I16</f>
        <v/>
      </c>
      <c r="I14" s="45">
        <f>IF(H14=1,1,IF(AND(H14&lt;&gt;"",H14&lt;&gt;"?"),0,C14/100))</f>
        <v>1.0526315789473684E-2</v>
      </c>
      <c r="J14" s="47">
        <f>IF(H14=2,1,IF(AND(H14&lt;&gt;"",H14&lt;&gt;"?"),0,G14))</f>
        <v>5.4322681514334479E-3</v>
      </c>
      <c r="K14" s="10" t="str">
        <f>IF(AND(H14&lt;&gt;"",H14&lt;&gt;"?"),"CONFIRMED","Market")</f>
        <v>Market</v>
      </c>
    </row>
    <row r="15" spans="1:12" x14ac:dyDescent="0.35">
      <c r="C15" s="46"/>
      <c r="D15" s="46"/>
      <c r="E15" s="46"/>
      <c r="F15" s="46"/>
      <c r="G15" s="46"/>
      <c r="H15" s="46"/>
      <c r="I15" s="46"/>
      <c r="J15" s="46"/>
    </row>
    <row r="16" spans="1:12" ht="15" customHeight="1" x14ac:dyDescent="0.35">
      <c r="A16" s="2" t="s">
        <v>362</v>
      </c>
      <c r="B16" s="3" t="s">
        <v>75</v>
      </c>
      <c r="C16" s="45">
        <f>INDEX(ODDS!$D$6:$D$44,MATCH(B16,ODDS!$B$6:$B$44,0))</f>
        <v>68.686868686868678</v>
      </c>
      <c r="D16" s="45">
        <f>INDEX(ODDS!$C$49:$C$87,MATCH(B16,ODDS!$B$49:$B$87,0))</f>
        <v>95</v>
      </c>
      <c r="E16" s="45">
        <f>C16/(C16+(SUMIF($A$16:$A$19,$A16,$C$16:$C$19)-C16)/3)</f>
        <v>0.86808510638297876</v>
      </c>
      <c r="F16" s="45">
        <f>D16-C16</f>
        <v>26.313131313131322</v>
      </c>
      <c r="G16" s="47">
        <f>E16*(D16-C16)/(0.67+0.33*E16)/100</f>
        <v>0.23881651412015792</v>
      </c>
      <c r="H16" s="45" t="str">
        <f>POINTS!I20</f>
        <v/>
      </c>
      <c r="I16" s="45">
        <f>IF(H16=1,1,IF(AND(H16&lt;&gt;"",H16&lt;&gt;"?"),0,C16/100))</f>
        <v>0.68686868686868674</v>
      </c>
      <c r="J16" s="47">
        <f>IF(H16=2,1,IF(AND(H16&lt;&gt;"",H16&lt;&gt;"?"),0,G16))</f>
        <v>0.23881651412015792</v>
      </c>
      <c r="K16" s="10" t="str">
        <f>IF(AND(H16&lt;&gt;"",H16&lt;&gt;"?"),"CONFIRMED","Market")</f>
        <v>Market</v>
      </c>
    </row>
    <row r="17" spans="1:11" ht="15" customHeight="1" x14ac:dyDescent="0.35">
      <c r="A17" s="2" t="s">
        <v>362</v>
      </c>
      <c r="B17" s="3" t="s">
        <v>76</v>
      </c>
      <c r="C17" s="45">
        <f>INDEX(ODDS!$D$6:$D$44,MATCH(B17,ODDS!$B$6:$B$44,0))</f>
        <v>18.181818181818183</v>
      </c>
      <c r="D17" s="45">
        <f>INDEX(ODDS!$C$49:$C$87,MATCH(B17,ODDS!$B$49:$B$87,0))</f>
        <v>58</v>
      </c>
      <c r="E17" s="45">
        <f>C17/(C17+(SUMIF($A$16:$A$19,$A17,$C$16:$C$19)-C17)/3)</f>
        <v>0.4</v>
      </c>
      <c r="F17" s="45">
        <f>D17-C17</f>
        <v>39.818181818181813</v>
      </c>
      <c r="G17" s="47">
        <f>E17*(D17-C17)/(0.67+0.33*E17)/100</f>
        <v>0.19859442303332575</v>
      </c>
      <c r="H17" s="45" t="str">
        <f>POINTS!I21</f>
        <v/>
      </c>
      <c r="I17" s="45">
        <f>IF(H17=1,1,IF(AND(H17&lt;&gt;"",H17&lt;&gt;"?"),0,C17/100))</f>
        <v>0.18181818181818182</v>
      </c>
      <c r="J17" s="47">
        <f>IF(H17=2,1,IF(AND(H17&lt;&gt;"",H17&lt;&gt;"?"),0,G17))</f>
        <v>0.19859442303332575</v>
      </c>
      <c r="K17" s="10" t="str">
        <f>IF(AND(H17&lt;&gt;"",H17&lt;&gt;"?"),"CONFIRMED","Market")</f>
        <v>Market</v>
      </c>
    </row>
    <row r="18" spans="1:11" ht="15" customHeight="1" x14ac:dyDescent="0.35">
      <c r="A18" s="2" t="s">
        <v>362</v>
      </c>
      <c r="B18" s="3" t="s">
        <v>83</v>
      </c>
      <c r="C18" s="45">
        <f>INDEX(ODDS!$D$6:$D$44,MATCH(B18,ODDS!$B$6:$B$44,0))</f>
        <v>8.0808080808080813</v>
      </c>
      <c r="D18" s="45">
        <f>INDEX(ODDS!$C$49:$C$87,MATCH(B18,ODDS!$B$49:$B$87,0))</f>
        <v>35</v>
      </c>
      <c r="E18" s="45">
        <f>C18/(C18+(SUMIF($A$16:$A$19,$A18,$C$16:$C$19)-C18)/3)</f>
        <v>0.20869565217391306</v>
      </c>
      <c r="F18" s="45">
        <f>D18-C18</f>
        <v>26.919191919191917</v>
      </c>
      <c r="G18" s="47">
        <f>E18*(D18-C18)/(0.67+0.33*E18)/100</f>
        <v>7.6033965642062606E-2</v>
      </c>
      <c r="H18" s="45" t="str">
        <f>POINTS!I22</f>
        <v/>
      </c>
      <c r="I18" s="45">
        <f>IF(H18=1,1,IF(AND(H18&lt;&gt;"",H18&lt;&gt;"?"),0,C18/100))</f>
        <v>8.0808080808080815E-2</v>
      </c>
      <c r="J18" s="47">
        <f>IF(H18=2,1,IF(AND(H18&lt;&gt;"",H18&lt;&gt;"?"),0,G18))</f>
        <v>7.6033965642062606E-2</v>
      </c>
      <c r="K18" s="10" t="str">
        <f>IF(AND(H18&lt;&gt;"",H18&lt;&gt;"?"),"CONFIRMED","Market")</f>
        <v>Market</v>
      </c>
    </row>
    <row r="19" spans="1:11" ht="15" customHeight="1" x14ac:dyDescent="0.35">
      <c r="A19" s="2" t="s">
        <v>362</v>
      </c>
      <c r="B19" s="3" t="s">
        <v>84</v>
      </c>
      <c r="C19" s="45">
        <f>INDEX(ODDS!$D$6:$D$44,MATCH(B19,ODDS!$B$6:$B$44,0))</f>
        <v>5.0505050505050502</v>
      </c>
      <c r="D19" s="45">
        <f>INDEX(ODDS!$C$49:$C$87,MATCH(B19,ODDS!$B$49:$B$87,0))</f>
        <v>12</v>
      </c>
      <c r="E19" s="45">
        <f>C19/(C19+(SUMIF($A$16:$A$19,$A19,$C$16:$C$19)-C19)/3)</f>
        <v>0.13761467889908258</v>
      </c>
      <c r="F19" s="45">
        <f>D19-C19</f>
        <v>6.9494949494949498</v>
      </c>
      <c r="G19" s="47">
        <f>E19*(D19-C19)/(0.67+0.33*E19)/100</f>
        <v>1.3367841015955919E-2</v>
      </c>
      <c r="H19" s="45" t="str">
        <f>POINTS!I23</f>
        <v/>
      </c>
      <c r="I19" s="45">
        <f>IF(H19=1,1,IF(AND(H19&lt;&gt;"",H19&lt;&gt;"?"),0,C19/100))</f>
        <v>5.0505050505050504E-2</v>
      </c>
      <c r="J19" s="47">
        <f>IF(H19=2,1,IF(AND(H19&lt;&gt;"",H19&lt;&gt;"?"),0,G19))</f>
        <v>1.3367841015955919E-2</v>
      </c>
      <c r="K19" s="10" t="str">
        <f>IF(AND(H19&lt;&gt;"",H19&lt;&gt;"?"),"CONFIRMED","Market")</f>
        <v>Market</v>
      </c>
    </row>
    <row r="20" spans="1:11" x14ac:dyDescent="0.35">
      <c r="C20" s="46"/>
      <c r="D20" s="46"/>
      <c r="E20" s="46"/>
      <c r="F20" s="46"/>
      <c r="G20" s="46"/>
      <c r="H20" s="46"/>
      <c r="I20" s="46"/>
      <c r="J20" s="46"/>
    </row>
    <row r="21" spans="1:11" ht="15" customHeight="1" x14ac:dyDescent="0.35">
      <c r="A21" s="2" t="s">
        <v>363</v>
      </c>
      <c r="B21" s="3" t="s">
        <v>70</v>
      </c>
      <c r="C21" s="45">
        <f>INDEX(ODDS!$D$6:$D$44,MATCH(B21,ODDS!$B$6:$B$44,0))</f>
        <v>77.450980392156865</v>
      </c>
      <c r="D21" s="45">
        <f>INDEX(ODDS!$C$49:$C$87,MATCH(B21,ODDS!$B$49:$B$87,0))</f>
        <v>98</v>
      </c>
      <c r="E21" s="45">
        <f>C21/(C21+(SUMIF($A$21:$A$24,$A21,$C$21:$C$24)-C21)/3)</f>
        <v>0.91153846153846163</v>
      </c>
      <c r="F21" s="45">
        <f>D21-C21</f>
        <v>20.549019607843135</v>
      </c>
      <c r="G21" s="47">
        <f>E21*(D21-C21)/(0.67+0.33*E21)/100</f>
        <v>0.19294471879318661</v>
      </c>
      <c r="H21" s="45" t="str">
        <f>POINTS!I27</f>
        <v/>
      </c>
      <c r="I21" s="45">
        <f>IF(H21=1,1,IF(AND(H21&lt;&gt;"",H21&lt;&gt;"?"),0,C21/100))</f>
        <v>0.77450980392156865</v>
      </c>
      <c r="J21" s="47">
        <f>IF(H21=2,1,IF(AND(H21&lt;&gt;"",H21&lt;&gt;"?"),0,G21))</f>
        <v>0.19294471879318661</v>
      </c>
      <c r="K21" s="10" t="str">
        <f>IF(AND(H21&lt;&gt;"",H21&lt;&gt;"?"),"CONFIRMED","Market")</f>
        <v>Market</v>
      </c>
    </row>
    <row r="22" spans="1:11" ht="15" customHeight="1" x14ac:dyDescent="0.35">
      <c r="A22" s="2" t="s">
        <v>363</v>
      </c>
      <c r="B22" s="3" t="s">
        <v>80</v>
      </c>
      <c r="C22" s="45">
        <f>INDEX(ODDS!$D$6:$D$44,MATCH(B22,ODDS!$B$6:$B$44,0))</f>
        <v>14.705882352941178</v>
      </c>
      <c r="D22" s="45">
        <f>INDEX(ODDS!$C$49:$C$87,MATCH(B22,ODDS!$B$49:$B$87,0))</f>
        <v>72</v>
      </c>
      <c r="E22" s="45">
        <f>C22/(C22+(SUMIF($A$21:$A$24,$A22,$C$21:$C$24)-C22)/3)</f>
        <v>0.34090909090909088</v>
      </c>
      <c r="F22" s="45">
        <f>D22-C22</f>
        <v>57.294117647058826</v>
      </c>
      <c r="G22" s="47">
        <f>E22*(D22-C22)/(0.67+0.33*E22)/100</f>
        <v>0.249611317079838</v>
      </c>
      <c r="H22" s="45" t="str">
        <f>POINTS!I28</f>
        <v/>
      </c>
      <c r="I22" s="45">
        <f>IF(H22=1,1,IF(AND(H22&lt;&gt;"",H22&lt;&gt;"?"),0,C22/100))</f>
        <v>0.14705882352941177</v>
      </c>
      <c r="J22" s="47">
        <f>IF(H22=2,1,IF(AND(H22&lt;&gt;"",H22&lt;&gt;"?"),0,G22))</f>
        <v>0.249611317079838</v>
      </c>
      <c r="K22" s="10" t="str">
        <f>IF(AND(H22&lt;&gt;"",H22&lt;&gt;"?"),"CONFIRMED","Market")</f>
        <v>Market</v>
      </c>
    </row>
    <row r="23" spans="1:11" ht="15" customHeight="1" x14ac:dyDescent="0.35">
      <c r="A23" s="2" t="s">
        <v>363</v>
      </c>
      <c r="B23" s="3" t="s">
        <v>79</v>
      </c>
      <c r="C23" s="45">
        <f>INDEX(ODDS!$D$6:$D$44,MATCH(B23,ODDS!$B$6:$B$44,0))</f>
        <v>3.9215686274509802</v>
      </c>
      <c r="D23" s="45">
        <f>INDEX(ODDS!$C$49:$C$87,MATCH(B23,ODDS!$B$49:$B$87,0))</f>
        <v>22</v>
      </c>
      <c r="E23" s="45">
        <f>C23/(C23+(SUMIF($A$21:$A$24,$A23,$C$21:$C$24)-C23)/3)</f>
        <v>0.10909090909090909</v>
      </c>
      <c r="F23" s="45">
        <f>D23-C23</f>
        <v>18.078431372549019</v>
      </c>
      <c r="G23" s="47">
        <f>E23*(D23-C23)/(0.67+0.33*E23)/100</f>
        <v>2.7934738149702317E-2</v>
      </c>
      <c r="H23" s="45" t="str">
        <f>POINTS!I29</f>
        <v/>
      </c>
      <c r="I23" s="45">
        <f>IF(H23=1,1,IF(AND(H23&lt;&gt;"",H23&lt;&gt;"?"),0,C23/100))</f>
        <v>3.9215686274509803E-2</v>
      </c>
      <c r="J23" s="47">
        <f>IF(H23=2,1,IF(AND(H23&lt;&gt;"",H23&lt;&gt;"?"),0,G23))</f>
        <v>2.7934738149702317E-2</v>
      </c>
      <c r="K23" s="10" t="str">
        <f>IF(AND(H23&lt;&gt;"",H23&lt;&gt;"?"),"CONFIRMED","Market")</f>
        <v>Market</v>
      </c>
    </row>
    <row r="24" spans="1:11" ht="15" customHeight="1" x14ac:dyDescent="0.35">
      <c r="A24" s="2" t="s">
        <v>363</v>
      </c>
      <c r="B24" s="3" t="s">
        <v>71</v>
      </c>
      <c r="C24" s="45">
        <f>INDEX(ODDS!$D$6:$D$44,MATCH(B24,ODDS!$B$6:$B$44,0))</f>
        <v>3.9215686274509802</v>
      </c>
      <c r="D24" s="45">
        <f>INDEX(ODDS!$C$49:$C$87,MATCH(B24,ODDS!$B$49:$B$87,0))</f>
        <v>8</v>
      </c>
      <c r="E24" s="45">
        <f>C24/(C24+(SUMIF($A$21:$A$24,$A24,$C$21:$C$24)-C24)/3)</f>
        <v>0.10909090909090909</v>
      </c>
      <c r="F24" s="45">
        <f>D24-C24</f>
        <v>4.0784313725490193</v>
      </c>
      <c r="G24" s="47">
        <f>E24*(D24-C24)/(0.67+0.33*E24)/100</f>
        <v>6.3019799730347961E-3</v>
      </c>
      <c r="H24" s="45" t="str">
        <f>POINTS!I30</f>
        <v/>
      </c>
      <c r="I24" s="45">
        <f>IF(H24=1,1,IF(AND(H24&lt;&gt;"",H24&lt;&gt;"?"),0,C24/100))</f>
        <v>3.9215686274509803E-2</v>
      </c>
      <c r="J24" s="47">
        <f>IF(H24=2,1,IF(AND(H24&lt;&gt;"",H24&lt;&gt;"?"),0,G24))</f>
        <v>6.3019799730347961E-3</v>
      </c>
      <c r="K24" s="10" t="str">
        <f>IF(AND(H24&lt;&gt;"",H24&lt;&gt;"?"),"CONFIRMED","Market")</f>
        <v>Market</v>
      </c>
    </row>
    <row r="25" spans="1:11" x14ac:dyDescent="0.35">
      <c r="C25" s="46"/>
      <c r="D25" s="46"/>
      <c r="E25" s="46"/>
      <c r="F25" s="46"/>
      <c r="G25" s="46"/>
      <c r="H25" s="46"/>
      <c r="I25" s="46"/>
      <c r="J25" s="46"/>
    </row>
    <row r="26" spans="1:11" ht="15" customHeight="1" x14ac:dyDescent="0.35">
      <c r="A26" s="2" t="s">
        <v>364</v>
      </c>
      <c r="B26" s="3" t="s">
        <v>88</v>
      </c>
      <c r="C26" s="45">
        <f>INDEX(ODDS!$D$6:$D$44,MATCH(B26,ODDS!$B$6:$B$44,0))</f>
        <v>68.316831683168317</v>
      </c>
      <c r="D26" s="45">
        <f>INDEX(ODDS!$C$49:$C$87,MATCH(B26,ODDS!$B$49:$B$87,0))</f>
        <v>94</v>
      </c>
      <c r="E26" s="45">
        <f>C26/(C26+(SUMIF($A$26:$A$29,$A26,$C$26:$C$29)-C26)/3)</f>
        <v>0.86610878661087864</v>
      </c>
      <c r="F26" s="45">
        <f>D26-C26</f>
        <v>25.683168316831683</v>
      </c>
      <c r="G26" s="47">
        <f>E26*(D26-C26)/(0.67+0.33*E26)/100</f>
        <v>0.23272701110068983</v>
      </c>
      <c r="H26" s="45" t="str">
        <f>POINTS!I34</f>
        <v/>
      </c>
      <c r="I26" s="45">
        <f>IF(H26=1,1,IF(AND(H26&lt;&gt;"",H26&lt;&gt;"?"),0,C26/100))</f>
        <v>0.68316831683168322</v>
      </c>
      <c r="J26" s="47">
        <f>IF(H26=2,1,IF(AND(H26&lt;&gt;"",H26&lt;&gt;"?"),0,G26))</f>
        <v>0.23272701110068983</v>
      </c>
      <c r="K26" s="10" t="str">
        <f>IF(AND(H26&lt;&gt;"",H26&lt;&gt;"?"),"CONFIRMED","Market")</f>
        <v>Market</v>
      </c>
    </row>
    <row r="27" spans="1:11" ht="15" customHeight="1" x14ac:dyDescent="0.35">
      <c r="A27" s="2" t="s">
        <v>364</v>
      </c>
      <c r="B27" s="3" t="s">
        <v>89</v>
      </c>
      <c r="C27" s="45">
        <f>INDEX(ODDS!$D$6:$D$44,MATCH(B27,ODDS!$B$6:$B$44,0))</f>
        <v>8.9108910891089099</v>
      </c>
      <c r="D27" s="45">
        <f>INDEX(ODDS!$C$49:$C$87,MATCH(B27,ODDS!$B$49:$B$87,0))</f>
        <v>64</v>
      </c>
      <c r="E27" s="45">
        <f>C27/(C27+(SUMIF($A$26:$A$29,$A27,$C$26:$C$29)-C27)/3)</f>
        <v>0.22689075630252098</v>
      </c>
      <c r="F27" s="45">
        <f>D27-C27</f>
        <v>55.089108910891092</v>
      </c>
      <c r="G27" s="47">
        <f>E27*(D27-C27)/(0.67+0.33*E27)/100</f>
        <v>0.16780301676377021</v>
      </c>
      <c r="H27" s="45" t="str">
        <f>POINTS!I35</f>
        <v/>
      </c>
      <c r="I27" s="45">
        <f>IF(H27=1,1,IF(AND(H27&lt;&gt;"",H27&lt;&gt;"?"),0,C27/100))</f>
        <v>8.9108910891089105E-2</v>
      </c>
      <c r="J27" s="47">
        <f>IF(H27=2,1,IF(AND(H27&lt;&gt;"",H27&lt;&gt;"?"),0,G27))</f>
        <v>0.16780301676377021</v>
      </c>
      <c r="K27" s="10" t="str">
        <f>IF(AND(H27&lt;&gt;"",H27&lt;&gt;"?"),"CONFIRMED","Market")</f>
        <v>Market</v>
      </c>
    </row>
    <row r="28" spans="1:11" ht="15" customHeight="1" x14ac:dyDescent="0.35">
      <c r="A28" s="2" t="s">
        <v>364</v>
      </c>
      <c r="B28" s="3" t="s">
        <v>92</v>
      </c>
      <c r="C28" s="45">
        <f>INDEX(ODDS!$D$6:$D$44,MATCH(B28,ODDS!$B$6:$B$44,0))</f>
        <v>21.782178217821784</v>
      </c>
      <c r="D28" s="45">
        <f>INDEX(ODDS!$C$49:$C$87,MATCH(B28,ODDS!$B$49:$B$87,0))</f>
        <v>78</v>
      </c>
      <c r="E28" s="45">
        <f>C28/(C28+(SUMIF($A$26:$A$29,$A28,$C$26:$C$29)-C28)/3)</f>
        <v>0.45517241379310347</v>
      </c>
      <c r="F28" s="45">
        <f>D28-C28</f>
        <v>56.21782178217822</v>
      </c>
      <c r="G28" s="47">
        <f>E28*(D28-C28)/(0.67+0.33*E28)/100</f>
        <v>0.3119798400423579</v>
      </c>
      <c r="H28" s="45" t="str">
        <f>POINTS!I36</f>
        <v/>
      </c>
      <c r="I28" s="45">
        <f>IF(H28=1,1,IF(AND(H28&lt;&gt;"",H28&lt;&gt;"?"),0,C28/100))</f>
        <v>0.21782178217821785</v>
      </c>
      <c r="J28" s="47">
        <f>IF(H28=2,1,IF(AND(H28&lt;&gt;"",H28&lt;&gt;"?"),0,G28))</f>
        <v>0.3119798400423579</v>
      </c>
      <c r="K28" s="10" t="str">
        <f>IF(AND(H28&lt;&gt;"",H28&lt;&gt;"?"),"CONFIRMED","Market")</f>
        <v>Market</v>
      </c>
    </row>
    <row r="29" spans="1:11" ht="15" customHeight="1" x14ac:dyDescent="0.35">
      <c r="A29" s="2" t="s">
        <v>364</v>
      </c>
      <c r="B29" s="3" t="s">
        <v>365</v>
      </c>
      <c r="C29" s="45">
        <f>INDEX(ODDS!$D$6:$D$44,MATCH(B29,ODDS!$B$6:$B$44,0))</f>
        <v>0.99009900990099009</v>
      </c>
      <c r="D29" s="45">
        <f>INDEX(ODDS!$C$49:$C$87,MATCH(B29,ODDS!$B$49:$B$87,0))</f>
        <v>10</v>
      </c>
      <c r="E29" s="45">
        <f>C29/(C29+(SUMIF($A$26:$A$29,$A29,$C$26:$C$29)-C29)/3)</f>
        <v>2.9126213592233011E-2</v>
      </c>
      <c r="F29" s="45">
        <f>D29-C29</f>
        <v>9.009900990099009</v>
      </c>
      <c r="G29" s="47">
        <f>E29*(D29-C29)/(0.67+0.33*E29)/100</f>
        <v>3.8613861386138605E-3</v>
      </c>
      <c r="H29" s="45" t="str">
        <f>POINTS!I37</f>
        <v/>
      </c>
      <c r="I29" s="45">
        <f>IF(H29=1,1,IF(AND(H29&lt;&gt;"",H29&lt;&gt;"?"),0,C29/100))</f>
        <v>9.9009900990099011E-3</v>
      </c>
      <c r="J29" s="47">
        <f>IF(H29=2,1,IF(AND(H29&lt;&gt;"",H29&lt;&gt;"?"),0,G29))</f>
        <v>3.8613861386138605E-3</v>
      </c>
      <c r="K29" s="10" t="str">
        <f>IF(AND(H29&lt;&gt;"",H29&lt;&gt;"?"),"CONFIRMED","Market")</f>
        <v>Market</v>
      </c>
    </row>
    <row r="30" spans="1:11" x14ac:dyDescent="0.35">
      <c r="C30" s="46"/>
      <c r="D30" s="46"/>
      <c r="E30" s="46"/>
      <c r="F30" s="46"/>
      <c r="G30" s="46"/>
      <c r="H30" s="46"/>
      <c r="I30" s="46"/>
      <c r="J30" s="46"/>
    </row>
    <row r="31" spans="1:11" ht="15" customHeight="1" x14ac:dyDescent="0.35">
      <c r="A31" s="2" t="s">
        <v>366</v>
      </c>
      <c r="B31" s="3" t="s">
        <v>96</v>
      </c>
      <c r="C31" s="45">
        <f>INDEX(ODDS!$D$6:$D$44,MATCH(B31,ODDS!$B$6:$B$44,0))</f>
        <v>68.807339449541288</v>
      </c>
      <c r="D31" s="45">
        <f>INDEX(ODDS!$C$49:$C$87,MATCH(B31,ODDS!$B$49:$B$87,0))</f>
        <v>97</v>
      </c>
      <c r="E31" s="45">
        <f>C31/(C31+(SUMIF($A$31:$A$34,$A31,$C$31:$C$34)-C31)/3)</f>
        <v>0.86872586872586877</v>
      </c>
      <c r="F31" s="45">
        <f>D31-C31</f>
        <v>28.192660550458712</v>
      </c>
      <c r="G31" s="47">
        <f>E31*(D31-C31)/(0.67+0.33*E31)/100</f>
        <v>0.2560072896865449</v>
      </c>
      <c r="H31" s="45" t="str">
        <f>POINTS!I41</f>
        <v/>
      </c>
      <c r="I31" s="45">
        <f>IF(H31=1,1,IF(AND(H31&lt;&gt;"",H31&lt;&gt;"?"),0,C31/100))</f>
        <v>0.68807339449541294</v>
      </c>
      <c r="J31" s="47">
        <f>IF(H31=2,1,IF(AND(H31&lt;&gt;"",H31&lt;&gt;"?"),0,G31))</f>
        <v>0.2560072896865449</v>
      </c>
      <c r="K31" s="10" t="str">
        <f>IF(AND(H31&lt;&gt;"",H31&lt;&gt;"?"),"CONFIRMED","Market")</f>
        <v>Market</v>
      </c>
    </row>
    <row r="32" spans="1:11" ht="15" customHeight="1" x14ac:dyDescent="0.35">
      <c r="A32" s="2" t="s">
        <v>366</v>
      </c>
      <c r="B32" s="3" t="s">
        <v>100</v>
      </c>
      <c r="C32" s="45">
        <f>INDEX(ODDS!$D$6:$D$44,MATCH(B32,ODDS!$B$6:$B$44,0))</f>
        <v>16.513761467889911</v>
      </c>
      <c r="D32" s="45">
        <f>INDEX(ODDS!$C$49:$C$87,MATCH(B32,ODDS!$B$49:$B$87,0))</f>
        <v>74</v>
      </c>
      <c r="E32" s="45">
        <f>C32/(C32+(SUMIF($A$31:$A$34,$A32,$C$31:$C$34)-C32)/3)</f>
        <v>0.3724137931034483</v>
      </c>
      <c r="F32" s="45">
        <f>D32-C32</f>
        <v>57.486238532110093</v>
      </c>
      <c r="G32" s="47">
        <f>E32*(D32-C32)/(0.67+0.33*E32)/100</f>
        <v>0.2700058172335344</v>
      </c>
      <c r="H32" s="45" t="str">
        <f>POINTS!I42</f>
        <v/>
      </c>
      <c r="I32" s="45">
        <f>IF(H32=1,1,IF(AND(H32&lt;&gt;"",H32&lt;&gt;"?"),0,C32/100))</f>
        <v>0.16513761467889909</v>
      </c>
      <c r="J32" s="47">
        <f>IF(H32=2,1,IF(AND(H32&lt;&gt;"",H32&lt;&gt;"?"),0,G32))</f>
        <v>0.2700058172335344</v>
      </c>
      <c r="K32" s="10" t="str">
        <f>IF(AND(H32&lt;&gt;"",H32&lt;&gt;"?"),"CONFIRMED","Market")</f>
        <v>Market</v>
      </c>
    </row>
    <row r="33" spans="1:11" ht="15" customHeight="1" x14ac:dyDescent="0.35">
      <c r="A33" s="2" t="s">
        <v>366</v>
      </c>
      <c r="B33" s="3" t="s">
        <v>101</v>
      </c>
      <c r="C33" s="45">
        <f>INDEX(ODDS!$D$6:$D$44,MATCH(B33,ODDS!$B$6:$B$44,0))</f>
        <v>4.5871559633027523</v>
      </c>
      <c r="D33" s="45">
        <f>INDEX(ODDS!$C$49:$C$87,MATCH(B33,ODDS!$B$49:$B$87,0))</f>
        <v>32</v>
      </c>
      <c r="E33" s="45">
        <f>C33/(C33+(SUMIF($A$31:$A$34,$A33,$C$31:$C$34)-C33)/3)</f>
        <v>0.12605042016806722</v>
      </c>
      <c r="F33" s="45">
        <f>D33-C33</f>
        <v>27.412844036697248</v>
      </c>
      <c r="G33" s="47">
        <f>E33*(D33-C33)/(0.67+0.33*E33)/100</f>
        <v>4.8558415275207691E-2</v>
      </c>
      <c r="H33" s="45" t="str">
        <f>POINTS!I43</f>
        <v/>
      </c>
      <c r="I33" s="45">
        <f>IF(H33=1,1,IF(AND(H33&lt;&gt;"",H33&lt;&gt;"?"),0,C33/100))</f>
        <v>4.5871559633027525E-2</v>
      </c>
      <c r="J33" s="47">
        <f>IF(H33=2,1,IF(AND(H33&lt;&gt;"",H33&lt;&gt;"?"),0,G33))</f>
        <v>4.8558415275207691E-2</v>
      </c>
      <c r="K33" s="10" t="str">
        <f>IF(AND(H33&lt;&gt;"",H33&lt;&gt;"?"),"CONFIRMED","Market")</f>
        <v>Market</v>
      </c>
    </row>
    <row r="34" spans="1:11" ht="15" customHeight="1" x14ac:dyDescent="0.35">
      <c r="A34" s="2" t="s">
        <v>366</v>
      </c>
      <c r="B34" s="3" t="s">
        <v>97</v>
      </c>
      <c r="C34" s="45">
        <f>INDEX(ODDS!$D$6:$D$44,MATCH(B34,ODDS!$B$6:$B$44,0))</f>
        <v>10.091743119266056</v>
      </c>
      <c r="D34" s="45">
        <f>INDEX(ODDS!$C$49:$C$87,MATCH(B34,ODDS!$B$49:$B$87,0))</f>
        <v>64</v>
      </c>
      <c r="E34" s="45">
        <f>C34/(C34+(SUMIF($A$31:$A$34,$A34,$C$31:$C$34)-C34)/3)</f>
        <v>0.25190839694656486</v>
      </c>
      <c r="F34" s="45">
        <f>D34-C34</f>
        <v>53.908256880733944</v>
      </c>
      <c r="G34" s="47">
        <f>E34*(D34-C34)/(0.67+0.33*E34)/100</f>
        <v>0.18031344790839449</v>
      </c>
      <c r="H34" s="45" t="str">
        <f>POINTS!I44</f>
        <v/>
      </c>
      <c r="I34" s="45">
        <f>IF(H34=1,1,IF(AND(H34&lt;&gt;"",H34&lt;&gt;"?"),0,C34/100))</f>
        <v>0.10091743119266056</v>
      </c>
      <c r="J34" s="47">
        <f>IF(H34=2,1,IF(AND(H34&lt;&gt;"",H34&lt;&gt;"?"),0,G34))</f>
        <v>0.18031344790839449</v>
      </c>
      <c r="K34" s="10" t="str">
        <f>IF(AND(H34&lt;&gt;"",H34&lt;&gt;"?"),"CONFIRMED","Market")</f>
        <v>Market</v>
      </c>
    </row>
    <row r="35" spans="1:11" x14ac:dyDescent="0.35">
      <c r="C35" s="46"/>
      <c r="D35" s="46"/>
      <c r="E35" s="46"/>
      <c r="F35" s="46"/>
      <c r="G35" s="46"/>
      <c r="H35" s="46"/>
      <c r="I35" s="46"/>
      <c r="J35" s="46"/>
    </row>
    <row r="36" spans="1:11" ht="15" customHeight="1" x14ac:dyDescent="0.35">
      <c r="A36" s="2" t="s">
        <v>367</v>
      </c>
      <c r="B36" s="3" t="s">
        <v>105</v>
      </c>
      <c r="C36" s="45">
        <f>INDEX(ODDS!$D$6:$D$44,MATCH(B36,ODDS!$B$6:$B$44,0))</f>
        <v>66.990291262135926</v>
      </c>
      <c r="D36" s="45">
        <f>INDEX(ODDS!$C$49:$C$87,MATCH(B36,ODDS!$B$49:$B$87,0))</f>
        <v>92</v>
      </c>
      <c r="E36" s="45">
        <f>C36/(C36+(SUMIF($A$36:$A$39,$A36,$C$36:$C$39)-C36)/3)</f>
        <v>0.85892116182572609</v>
      </c>
      <c r="F36" s="45">
        <f>D36-C36</f>
        <v>25.009708737864074</v>
      </c>
      <c r="G36" s="47">
        <f>E36*(D36-C36)/(0.67+0.33*E36)/100</f>
        <v>0.22530288574888424</v>
      </c>
      <c r="H36" s="45" t="str">
        <f>POINTS!I48</f>
        <v/>
      </c>
      <c r="I36" s="45">
        <f>IF(H36=1,1,IF(AND(H36&lt;&gt;"",H36&lt;&gt;"?"),0,C36/100))</f>
        <v>0.66990291262135926</v>
      </c>
      <c r="J36" s="47">
        <f>IF(H36=2,1,IF(AND(H36&lt;&gt;"",H36&lt;&gt;"?"),0,G36))</f>
        <v>0.22530288574888424</v>
      </c>
      <c r="K36" s="10" t="str">
        <f>IF(AND(H36&lt;&gt;"",H36&lt;&gt;"?"),"CONFIRMED","Market")</f>
        <v>Market</v>
      </c>
    </row>
    <row r="37" spans="1:11" ht="15" customHeight="1" x14ac:dyDescent="0.35">
      <c r="A37" s="2" t="s">
        <v>367</v>
      </c>
      <c r="B37" s="3" t="s">
        <v>116</v>
      </c>
      <c r="C37" s="45">
        <f>INDEX(ODDS!$D$6:$D$44,MATCH(B37,ODDS!$B$6:$B$44,0))</f>
        <v>30.097087378640776</v>
      </c>
      <c r="D37" s="45">
        <f>INDEX(ODDS!$C$49:$C$87,MATCH(B37,ODDS!$B$49:$B$87,0))</f>
        <v>85</v>
      </c>
      <c r="E37" s="45">
        <f>C37/(C37+(SUMIF($A$36:$A$39,$A37,$C$36:$C$39)-C37)/3)</f>
        <v>0.5636363636363636</v>
      </c>
      <c r="F37" s="45">
        <f>D37-C37</f>
        <v>54.902912621359221</v>
      </c>
      <c r="G37" s="47">
        <f>E37*(D37-C37)/(0.67+0.33*E37)/100</f>
        <v>0.36151025727742897</v>
      </c>
      <c r="H37" s="45" t="str">
        <f>POINTS!I49</f>
        <v/>
      </c>
      <c r="I37" s="45">
        <f>IF(H37=1,1,IF(AND(H37&lt;&gt;"",H37&lt;&gt;"?"),0,C37/100))</f>
        <v>0.30097087378640774</v>
      </c>
      <c r="J37" s="47">
        <f>IF(H37=2,1,IF(AND(H37&lt;&gt;"",H37&lt;&gt;"?"),0,G37))</f>
        <v>0.36151025727742897</v>
      </c>
      <c r="K37" s="10" t="str">
        <f>IF(AND(H37&lt;&gt;"",H37&lt;&gt;"?"),"CONFIRMED","Market")</f>
        <v>Market</v>
      </c>
    </row>
    <row r="38" spans="1:11" ht="15" customHeight="1" x14ac:dyDescent="0.35">
      <c r="A38" s="2" t="s">
        <v>367</v>
      </c>
      <c r="B38" s="3" t="s">
        <v>115</v>
      </c>
      <c r="C38" s="45">
        <f>INDEX(ODDS!$D$6:$D$44,MATCH(B38,ODDS!$B$6:$B$44,0))</f>
        <v>1.9417475728155338</v>
      </c>
      <c r="D38" s="45">
        <f>INDEX(ODDS!$C$49:$C$87,MATCH(B38,ODDS!$B$49:$B$87,0))</f>
        <v>29</v>
      </c>
      <c r="E38" s="45">
        <f>C38/(C38+(SUMIF($A$36:$A$39,$A38,$C$36:$C$39)-C38)/3)</f>
        <v>5.6074766355140172E-2</v>
      </c>
      <c r="F38" s="45">
        <f>D38-C38</f>
        <v>27.058252427184467</v>
      </c>
      <c r="G38" s="47">
        <f>E38*(D38-C38)/(0.67+0.33*E38)/100</f>
        <v>2.2037398474698891E-2</v>
      </c>
      <c r="H38" s="45" t="str">
        <f>POINTS!I50</f>
        <v/>
      </c>
      <c r="I38" s="45">
        <f>IF(H38=1,1,IF(AND(H38&lt;&gt;"",H38&lt;&gt;"?"),0,C38/100))</f>
        <v>1.9417475728155338E-2</v>
      </c>
      <c r="J38" s="47">
        <f>IF(H38=2,1,IF(AND(H38&lt;&gt;"",H38&lt;&gt;"?"),0,G38))</f>
        <v>2.2037398474698891E-2</v>
      </c>
      <c r="K38" s="10" t="str">
        <f>IF(AND(H38&lt;&gt;"",H38&lt;&gt;"?"),"CONFIRMED","Market")</f>
        <v>Market</v>
      </c>
    </row>
    <row r="39" spans="1:11" ht="15" customHeight="1" x14ac:dyDescent="0.35">
      <c r="A39" s="2" t="s">
        <v>367</v>
      </c>
      <c r="B39" s="3" t="s">
        <v>368</v>
      </c>
      <c r="C39" s="45">
        <f>INDEX(ODDS!$D$6:$D$44,MATCH(B39,ODDS!$B$6:$B$44,0))</f>
        <v>0.97087378640776689</v>
      </c>
      <c r="D39" s="45">
        <f>INDEX(ODDS!$C$49:$C$87,MATCH(B39,ODDS!$B$49:$B$87,0))</f>
        <v>10</v>
      </c>
      <c r="E39" s="45">
        <f>C39/(C39+(SUMIF($A$36:$A$39,$A39,$C$36:$C$39)-C39)/3)</f>
        <v>2.8571428571428567E-2</v>
      </c>
      <c r="F39" s="45">
        <f>D39-C39</f>
        <v>9.0291262135922334</v>
      </c>
      <c r="G39" s="47">
        <f>E39*(D39-C39)/(0.67+0.33*E39)/100</f>
        <v>3.7969412168175915E-3</v>
      </c>
      <c r="H39" s="45" t="str">
        <f>POINTS!I51</f>
        <v/>
      </c>
      <c r="I39" s="45">
        <f>IF(H39=1,1,IF(AND(H39&lt;&gt;"",H39&lt;&gt;"?"),0,C39/100))</f>
        <v>9.7087378640776691E-3</v>
      </c>
      <c r="J39" s="47">
        <f>IF(H39=2,1,IF(AND(H39&lt;&gt;"",H39&lt;&gt;"?"),0,G39))</f>
        <v>3.7969412168175915E-3</v>
      </c>
      <c r="K39" s="10" t="str">
        <f>IF(AND(H39&lt;&gt;"",H39&lt;&gt;"?"),"CONFIRMED","Market")</f>
        <v>Market</v>
      </c>
    </row>
    <row r="40" spans="1:11" x14ac:dyDescent="0.35">
      <c r="C40" s="46"/>
      <c r="D40" s="46"/>
      <c r="E40" s="46"/>
      <c r="F40" s="46"/>
      <c r="G40" s="46"/>
      <c r="H40" s="46"/>
      <c r="I40" s="46"/>
      <c r="J40" s="46"/>
    </row>
    <row r="41" spans="1:11" ht="15" customHeight="1" x14ac:dyDescent="0.35">
      <c r="A41" s="2" t="s">
        <v>369</v>
      </c>
      <c r="B41" s="3" t="s">
        <v>109</v>
      </c>
      <c r="C41" s="45">
        <f>INDEX(ODDS!$D$6:$D$44,MATCH(B41,ODDS!$B$6:$B$44,0))</f>
        <v>67.64705882352942</v>
      </c>
      <c r="D41" s="45">
        <f>INDEX(ODDS!$C$49:$C$87,MATCH(B41,ODDS!$B$49:$B$87,0))</f>
        <v>94</v>
      </c>
      <c r="E41" s="45">
        <f>C41/(C41+(SUMIF($A$41:$A$44,$A41,$C$41:$C$44)-C41)/3)</f>
        <v>0.86250000000000004</v>
      </c>
      <c r="F41" s="45">
        <f>D41-C41</f>
        <v>26.35294117647058</v>
      </c>
      <c r="G41" s="47">
        <f>E41*(D41-C41)/(0.67+0.33*E41)/100</f>
        <v>0.23809780557502552</v>
      </c>
      <c r="H41" s="45" t="str">
        <f>POINTS!I55</f>
        <v/>
      </c>
      <c r="I41" s="45">
        <f>IF(H41=1,1,IF(AND(H41&lt;&gt;"",H41&lt;&gt;"?"),0,C41/100))</f>
        <v>0.67647058823529416</v>
      </c>
      <c r="J41" s="47">
        <f>IF(H41=2,1,IF(AND(H41&lt;&gt;"",H41&lt;&gt;"?"),0,G41))</f>
        <v>0.23809780557502552</v>
      </c>
      <c r="K41" s="10" t="str">
        <f>IF(AND(H41&lt;&gt;"",H41&lt;&gt;"?"),"CONFIRMED","Market")</f>
        <v>Market</v>
      </c>
    </row>
    <row r="42" spans="1:11" ht="15" customHeight="1" x14ac:dyDescent="0.35">
      <c r="A42" s="2" t="s">
        <v>369</v>
      </c>
      <c r="B42" s="3" t="s">
        <v>110</v>
      </c>
      <c r="C42" s="45">
        <f>INDEX(ODDS!$D$6:$D$44,MATCH(B42,ODDS!$B$6:$B$44,0))</f>
        <v>21.568627450980394</v>
      </c>
      <c r="D42" s="45">
        <f>INDEX(ODDS!$C$49:$C$87,MATCH(B42,ODDS!$B$49:$B$87,0))</f>
        <v>68</v>
      </c>
      <c r="E42" s="45">
        <f>C42/(C42+(SUMIF($A$41:$A$44,$A42,$C$41:$C$44)-C42)/3)</f>
        <v>0.45205479452054798</v>
      </c>
      <c r="F42" s="45">
        <f>D42-C42</f>
        <v>46.431372549019606</v>
      </c>
      <c r="G42" s="47">
        <f>E42*(D42-C42)/(0.67+0.33*E42)/100</f>
        <v>0.25622663781231553</v>
      </c>
      <c r="H42" s="45" t="str">
        <f>POINTS!I56</f>
        <v/>
      </c>
      <c r="I42" s="45">
        <f>IF(H42=1,1,IF(AND(H42&lt;&gt;"",H42&lt;&gt;"?"),0,C42/100))</f>
        <v>0.21568627450980393</v>
      </c>
      <c r="J42" s="47">
        <f>IF(H42=2,1,IF(AND(H42&lt;&gt;"",H42&lt;&gt;"?"),0,G42))</f>
        <v>0.25622663781231553</v>
      </c>
      <c r="K42" s="10" t="str">
        <f>IF(AND(H42&lt;&gt;"",H42&lt;&gt;"?"),"CONFIRMED","Market")</f>
        <v>Market</v>
      </c>
    </row>
    <row r="43" spans="1:11" ht="15" customHeight="1" x14ac:dyDescent="0.35">
      <c r="A43" s="2" t="s">
        <v>369</v>
      </c>
      <c r="B43" s="3" t="s">
        <v>112</v>
      </c>
      <c r="C43" s="45">
        <f>INDEX(ODDS!$D$6:$D$44,MATCH(B43,ODDS!$B$6:$B$44,0))</f>
        <v>9.8039215686274517</v>
      </c>
      <c r="D43" s="45">
        <f>INDEX(ODDS!$C$49:$C$87,MATCH(B43,ODDS!$B$49:$B$87,0))</f>
        <v>28</v>
      </c>
      <c r="E43" s="45">
        <f>C43/(C43+(SUMIF($A$41:$A$44,$A43,$C$41:$C$44)-C43)/3)</f>
        <v>0.24590163934426226</v>
      </c>
      <c r="F43" s="45">
        <f>D43-C43</f>
        <v>18.196078431372548</v>
      </c>
      <c r="G43" s="47">
        <f>E43*(D43-C43)/(0.67+0.33*E43)/100</f>
        <v>5.9568131049888298E-2</v>
      </c>
      <c r="H43" s="45" t="str">
        <f>POINTS!I57</f>
        <v/>
      </c>
      <c r="I43" s="45">
        <f>IF(H43=1,1,IF(AND(H43&lt;&gt;"",H43&lt;&gt;"?"),0,C43/100))</f>
        <v>9.8039215686274522E-2</v>
      </c>
      <c r="J43" s="47">
        <f>IF(H43=2,1,IF(AND(H43&lt;&gt;"",H43&lt;&gt;"?"),0,G43))</f>
        <v>5.9568131049888298E-2</v>
      </c>
      <c r="K43" s="10" t="str">
        <f>IF(AND(H43&lt;&gt;"",H43&lt;&gt;"?"),"CONFIRMED","Market")</f>
        <v>Market</v>
      </c>
    </row>
    <row r="44" spans="1:11" ht="15" customHeight="1" x14ac:dyDescent="0.35">
      <c r="A44" s="2" t="s">
        <v>369</v>
      </c>
      <c r="B44" s="3" t="s">
        <v>113</v>
      </c>
      <c r="C44" s="45">
        <f>INDEX(ODDS!$D$6:$D$44,MATCH(B44,ODDS!$B$6:$B$44,0))</f>
        <v>0.98039215686274506</v>
      </c>
      <c r="D44" s="45">
        <f>INDEX(ODDS!$C$49:$C$87,MATCH(B44,ODDS!$B$49:$B$87,0))</f>
        <v>10</v>
      </c>
      <c r="E44" s="45">
        <f>C44/(C44+(SUMIF($A$41:$A$44,$A44,$C$41:$C$44)-C44)/3)</f>
        <v>2.8846153846153844E-2</v>
      </c>
      <c r="F44" s="45">
        <f>D44-C44</f>
        <v>9.0196078431372548</v>
      </c>
      <c r="G44" s="47">
        <f>E44*(D44-C44)/(0.67+0.33*E44)/100</f>
        <v>3.8288981929265257E-3</v>
      </c>
      <c r="H44" s="45" t="str">
        <f>POINTS!I58</f>
        <v/>
      </c>
      <c r="I44" s="45">
        <f>IF(H44=1,1,IF(AND(H44&lt;&gt;"",H44&lt;&gt;"?"),0,C44/100))</f>
        <v>9.8039215686274508E-3</v>
      </c>
      <c r="J44" s="47">
        <f>IF(H44=2,1,IF(AND(H44&lt;&gt;"",H44&lt;&gt;"?"),0,G44))</f>
        <v>3.8288981929265257E-3</v>
      </c>
      <c r="K44" s="10" t="str">
        <f>IF(AND(H44&lt;&gt;"",H44&lt;&gt;"?"),"CONFIRMED","Market")</f>
        <v>Market</v>
      </c>
    </row>
  </sheetData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37"/>
  <sheetViews>
    <sheetView showGridLines="0" zoomScaleNormal="100" workbookViewId="0">
      <selection sqref="A1:H1"/>
    </sheetView>
  </sheetViews>
  <sheetFormatPr defaultColWidth="8.54296875" defaultRowHeight="14.5" x14ac:dyDescent="0.35"/>
  <cols>
    <col min="1" max="1" width="13.453125" customWidth="1"/>
    <col min="2" max="2" width="8.54296875" customWidth="1"/>
    <col min="3" max="3" width="9.54296875" customWidth="1"/>
    <col min="4" max="4" width="14" customWidth="1"/>
    <col min="5" max="5" width="8" customWidth="1"/>
    <col min="6" max="6" width="10.453125" customWidth="1"/>
    <col min="7" max="7" width="8.54296875" customWidth="1"/>
    <col min="8" max="8" width="9" customWidth="1"/>
    <col min="9" max="9" width="11.54296875" customWidth="1"/>
  </cols>
  <sheetData>
    <row r="1" spans="1:9" ht="17.25" customHeight="1" x14ac:dyDescent="0.35">
      <c r="A1" s="70" t="s">
        <v>412</v>
      </c>
      <c r="B1" s="70"/>
      <c r="C1" s="70"/>
      <c r="D1" s="70"/>
      <c r="E1" s="70"/>
      <c r="F1" s="70"/>
      <c r="G1" s="70"/>
      <c r="H1" s="70"/>
    </row>
    <row r="2" spans="1:9" ht="15" customHeight="1" x14ac:dyDescent="0.35">
      <c r="A2" s="61" t="s">
        <v>318</v>
      </c>
      <c r="B2" s="61"/>
      <c r="C2" s="61"/>
      <c r="D2" s="61"/>
      <c r="E2" s="61"/>
      <c r="F2" s="61"/>
      <c r="G2" s="61"/>
      <c r="H2" s="61"/>
    </row>
    <row r="3" spans="1:9" ht="15" customHeight="1" x14ac:dyDescent="0.35">
      <c r="A3" s="11" t="s">
        <v>413</v>
      </c>
      <c r="B3" s="71">
        <f>SCHEDULE!G81</f>
        <v>0</v>
      </c>
      <c r="C3" s="71"/>
    </row>
    <row r="5" spans="1:9" ht="15" customHeight="1" x14ac:dyDescent="0.35">
      <c r="A5" s="72" t="s">
        <v>414</v>
      </c>
      <c r="B5" s="72"/>
      <c r="C5" s="72"/>
      <c r="D5" s="72"/>
      <c r="F5" s="73" t="s">
        <v>415</v>
      </c>
      <c r="G5" s="73"/>
      <c r="H5" s="73"/>
      <c r="I5" s="73"/>
    </row>
    <row r="6" spans="1:9" ht="15" customHeight="1" x14ac:dyDescent="0.35">
      <c r="A6" s="1" t="s">
        <v>356</v>
      </c>
      <c r="B6" s="1" t="s">
        <v>416</v>
      </c>
      <c r="C6" s="1" t="s">
        <v>417</v>
      </c>
      <c r="D6" s="1"/>
      <c r="F6" s="1" t="s">
        <v>356</v>
      </c>
      <c r="G6" s="1" t="s">
        <v>416</v>
      </c>
      <c r="H6" s="1" t="s">
        <v>417</v>
      </c>
      <c r="I6" s="1"/>
    </row>
    <row r="7" spans="1:9" ht="15" customHeight="1" x14ac:dyDescent="0.35">
      <c r="A7" s="3" t="s">
        <v>51</v>
      </c>
      <c r="B7" s="12">
        <f>CALC!$J$11</f>
        <v>0.25066506582880882</v>
      </c>
      <c r="C7" s="6">
        <f>RANK(B7,$B$7:$B$10,0)</f>
        <v>2</v>
      </c>
      <c r="F7" s="3" t="s">
        <v>88</v>
      </c>
      <c r="G7" s="12">
        <f>CALC!$J$26</f>
        <v>0.23272701110068983</v>
      </c>
      <c r="H7" s="6">
        <f>RANK(G7,$G$7:$G$10,0)</f>
        <v>2</v>
      </c>
    </row>
    <row r="8" spans="1:9" ht="15" customHeight="1" x14ac:dyDescent="0.35">
      <c r="A8" s="3" t="s">
        <v>61</v>
      </c>
      <c r="B8" s="12">
        <f>CALC!$J$12</f>
        <v>0.35314348946521057</v>
      </c>
      <c r="C8" s="6">
        <f>RANK(B8,$B$7:$B$10,0)</f>
        <v>1</v>
      </c>
      <c r="F8" s="3" t="s">
        <v>89</v>
      </c>
      <c r="G8" s="12">
        <f>CALC!$J$27</f>
        <v>0.16780301676377021</v>
      </c>
      <c r="H8" s="6">
        <f>RANK(G8,$G$7:$G$10,0)</f>
        <v>3</v>
      </c>
    </row>
    <row r="9" spans="1:9" ht="15" customHeight="1" x14ac:dyDescent="0.35">
      <c r="A9" s="3" t="s">
        <v>60</v>
      </c>
      <c r="B9" s="12">
        <f>CALC!$J$13</f>
        <v>0.21555037680457612</v>
      </c>
      <c r="C9" s="6">
        <f>RANK(B9,$B$7:$B$10,0)</f>
        <v>3</v>
      </c>
      <c r="F9" s="3" t="s">
        <v>92</v>
      </c>
      <c r="G9" s="12">
        <f>CALC!$J$28</f>
        <v>0.3119798400423579</v>
      </c>
      <c r="H9" s="6">
        <f>RANK(G9,$G$7:$G$10,0)</f>
        <v>1</v>
      </c>
    </row>
    <row r="10" spans="1:9" ht="15" customHeight="1" x14ac:dyDescent="0.35">
      <c r="A10" s="3" t="s">
        <v>52</v>
      </c>
      <c r="B10" s="12">
        <f>CALC!$J$14</f>
        <v>5.4322681514334479E-3</v>
      </c>
      <c r="C10" s="6">
        <f>RANK(B10,$B$7:$B$10,0)</f>
        <v>4</v>
      </c>
      <c r="F10" s="3" t="s">
        <v>365</v>
      </c>
      <c r="G10" s="12">
        <f>CALC!$J$29</f>
        <v>3.8613861386138605E-3</v>
      </c>
      <c r="H10" s="6">
        <f>RANK(G10,$G$7:$G$10,0)</f>
        <v>4</v>
      </c>
    </row>
    <row r="13" spans="1:9" ht="15" customHeight="1" x14ac:dyDescent="0.35">
      <c r="A13" s="68" t="s">
        <v>418</v>
      </c>
      <c r="B13" s="68"/>
      <c r="C13" s="68"/>
      <c r="D13" s="68"/>
      <c r="E13" s="68"/>
      <c r="F13" s="68"/>
      <c r="G13" s="68"/>
      <c r="H13" s="68"/>
    </row>
    <row r="14" spans="1:9" ht="15" customHeight="1" x14ac:dyDescent="0.35">
      <c r="A14" s="1" t="s">
        <v>335</v>
      </c>
      <c r="B14" s="1" t="s">
        <v>5</v>
      </c>
      <c r="C14" s="1" t="s">
        <v>336</v>
      </c>
      <c r="D14" s="1" t="s">
        <v>6</v>
      </c>
      <c r="E14" s="1" t="s">
        <v>336</v>
      </c>
      <c r="F14" s="1" t="s">
        <v>337</v>
      </c>
      <c r="G14" s="1" t="s">
        <v>417</v>
      </c>
      <c r="H14" s="1"/>
    </row>
    <row r="15" spans="1:9" ht="15" customHeight="1" x14ac:dyDescent="0.35">
      <c r="A15" s="6">
        <v>1</v>
      </c>
      <c r="B15" s="3" t="str">
        <f>$A$7</f>
        <v>Germany</v>
      </c>
      <c r="C15" s="12">
        <f>$B$7</f>
        <v>0.25066506582880882</v>
      </c>
      <c r="D15" s="3" t="str">
        <f>$F$7</f>
        <v>France</v>
      </c>
      <c r="E15" s="12">
        <f>$G$7</f>
        <v>0.23272701110068983</v>
      </c>
      <c r="F15" s="13">
        <f t="shared" ref="F15:F30" si="0">C15*E15</f>
        <v>5.8336531557696338E-2</v>
      </c>
      <c r="G15" s="6">
        <f t="shared" ref="G15:G30" si="1">RANK(F15,$F$15:$F$30,0)</f>
        <v>6</v>
      </c>
    </row>
    <row r="16" spans="1:9" ht="15" customHeight="1" x14ac:dyDescent="0.35">
      <c r="A16" s="6">
        <v>2</v>
      </c>
      <c r="B16" s="3" t="str">
        <f>$A$7</f>
        <v>Germany</v>
      </c>
      <c r="C16" s="12">
        <f>$B$7</f>
        <v>0.25066506582880882</v>
      </c>
      <c r="D16" s="3" t="str">
        <f>$F$8</f>
        <v>Senegal</v>
      </c>
      <c r="E16" s="12">
        <f>$G$8</f>
        <v>0.16780301676377021</v>
      </c>
      <c r="F16" s="13">
        <f t="shared" si="0"/>
        <v>4.2062354243363173E-2</v>
      </c>
      <c r="G16" s="6">
        <f t="shared" si="1"/>
        <v>8</v>
      </c>
    </row>
    <row r="17" spans="1:7" ht="15" customHeight="1" x14ac:dyDescent="0.35">
      <c r="A17" s="6">
        <v>3</v>
      </c>
      <c r="B17" s="3" t="str">
        <f>$A$7</f>
        <v>Germany</v>
      </c>
      <c r="C17" s="12">
        <f>$B$7</f>
        <v>0.25066506582880882</v>
      </c>
      <c r="D17" s="3" t="str">
        <f>$F$9</f>
        <v>Norway</v>
      </c>
      <c r="E17" s="12">
        <f>$G$9</f>
        <v>0.3119798400423579</v>
      </c>
      <c r="F17" s="13">
        <f t="shared" si="0"/>
        <v>7.8202447141478892E-2</v>
      </c>
      <c r="G17" s="6">
        <f t="shared" si="1"/>
        <v>3</v>
      </c>
    </row>
    <row r="18" spans="1:7" ht="15" customHeight="1" x14ac:dyDescent="0.35">
      <c r="A18" s="6">
        <v>4</v>
      </c>
      <c r="B18" s="3" t="str">
        <f>$A$7</f>
        <v>Germany</v>
      </c>
      <c r="C18" s="12">
        <f>$B$7</f>
        <v>0.25066506582880882</v>
      </c>
      <c r="D18" s="3" t="str">
        <f>$F$10</f>
        <v>TBD_I4</v>
      </c>
      <c r="E18" s="12">
        <f>$G$10</f>
        <v>3.8613861386138605E-3</v>
      </c>
      <c r="F18" s="13">
        <f t="shared" si="0"/>
        <v>9.6791461062609326E-4</v>
      </c>
      <c r="G18" s="6">
        <f t="shared" si="1"/>
        <v>13</v>
      </c>
    </row>
    <row r="19" spans="1:7" ht="15" customHeight="1" x14ac:dyDescent="0.35">
      <c r="A19" s="6">
        <v>5</v>
      </c>
      <c r="B19" s="3" t="str">
        <f>$A$8</f>
        <v>Ecuador</v>
      </c>
      <c r="C19" s="12">
        <f>$B$8</f>
        <v>0.35314348946521057</v>
      </c>
      <c r="D19" s="3" t="str">
        <f>$F$7</f>
        <v>France</v>
      </c>
      <c r="E19" s="12">
        <f>$G$7</f>
        <v>0.23272701110068983</v>
      </c>
      <c r="F19" s="13">
        <f t="shared" si="0"/>
        <v>8.2186028792906402E-2</v>
      </c>
      <c r="G19" s="6">
        <f t="shared" si="1"/>
        <v>2</v>
      </c>
    </row>
    <row r="20" spans="1:7" ht="15" customHeight="1" x14ac:dyDescent="0.35">
      <c r="A20" s="6">
        <v>6</v>
      </c>
      <c r="B20" s="3" t="str">
        <f>$A$8</f>
        <v>Ecuador</v>
      </c>
      <c r="C20" s="12">
        <f>$B$8</f>
        <v>0.35314348946521057</v>
      </c>
      <c r="D20" s="3" t="str">
        <f>$F$8</f>
        <v>Senegal</v>
      </c>
      <c r="E20" s="12">
        <f>$G$8</f>
        <v>0.16780301676377021</v>
      </c>
      <c r="F20" s="13">
        <f t="shared" si="0"/>
        <v>5.925854288274704E-2</v>
      </c>
      <c r="G20" s="6">
        <f t="shared" si="1"/>
        <v>5</v>
      </c>
    </row>
    <row r="21" spans="1:7" ht="15" customHeight="1" x14ac:dyDescent="0.35">
      <c r="A21" s="6">
        <v>7</v>
      </c>
      <c r="B21" s="3" t="str">
        <f>$A$8</f>
        <v>Ecuador</v>
      </c>
      <c r="C21" s="12">
        <f>$B$8</f>
        <v>0.35314348946521057</v>
      </c>
      <c r="D21" s="3" t="str">
        <f>$F$9</f>
        <v>Norway</v>
      </c>
      <c r="E21" s="12">
        <f>$G$9</f>
        <v>0.3119798400423579</v>
      </c>
      <c r="F21" s="13">
        <f t="shared" si="0"/>
        <v>0.11017364935535649</v>
      </c>
      <c r="G21" s="6">
        <f t="shared" si="1"/>
        <v>1</v>
      </c>
    </row>
    <row r="22" spans="1:7" ht="15" customHeight="1" x14ac:dyDescent="0.35">
      <c r="A22" s="6">
        <v>8</v>
      </c>
      <c r="B22" s="3" t="str">
        <f>$A$8</f>
        <v>Ecuador</v>
      </c>
      <c r="C22" s="12">
        <f>$B$8</f>
        <v>0.35314348946521057</v>
      </c>
      <c r="D22" s="3" t="str">
        <f>$F$10</f>
        <v>TBD_I4</v>
      </c>
      <c r="E22" s="12">
        <f>$G$10</f>
        <v>3.8613861386138605E-3</v>
      </c>
      <c r="F22" s="13">
        <f t="shared" si="0"/>
        <v>1.3636233751626939E-3</v>
      </c>
      <c r="G22" s="6">
        <f t="shared" si="1"/>
        <v>11</v>
      </c>
    </row>
    <row r="23" spans="1:7" ht="15" customHeight="1" x14ac:dyDescent="0.35">
      <c r="A23" s="6">
        <v>9</v>
      </c>
      <c r="B23" s="3" t="str">
        <f>$A$9</f>
        <v>Ivory Coast</v>
      </c>
      <c r="C23" s="12">
        <f>$B$9</f>
        <v>0.21555037680457612</v>
      </c>
      <c r="D23" s="3" t="str">
        <f>$F$7</f>
        <v>France</v>
      </c>
      <c r="E23" s="12">
        <f>$G$7</f>
        <v>0.23272701110068983</v>
      </c>
      <c r="F23" s="13">
        <f t="shared" si="0"/>
        <v>5.016439493535646E-2</v>
      </c>
      <c r="G23" s="6">
        <f t="shared" si="1"/>
        <v>7</v>
      </c>
    </row>
    <row r="24" spans="1:7" ht="15" customHeight="1" x14ac:dyDescent="0.35">
      <c r="A24" s="6">
        <v>10</v>
      </c>
      <c r="B24" s="3" t="str">
        <f>$A$9</f>
        <v>Ivory Coast</v>
      </c>
      <c r="C24" s="12">
        <f>$B$9</f>
        <v>0.21555037680457612</v>
      </c>
      <c r="D24" s="3" t="str">
        <f>$F$8</f>
        <v>Senegal</v>
      </c>
      <c r="E24" s="12">
        <f>$G$8</f>
        <v>0.16780301676377021</v>
      </c>
      <c r="F24" s="13">
        <f t="shared" si="0"/>
        <v>3.6170003492375272E-2</v>
      </c>
      <c r="G24" s="6">
        <f t="shared" si="1"/>
        <v>9</v>
      </c>
    </row>
    <row r="25" spans="1:7" ht="15" customHeight="1" x14ac:dyDescent="0.35">
      <c r="A25" s="6">
        <v>11</v>
      </c>
      <c r="B25" s="3" t="str">
        <f>$A$9</f>
        <v>Ivory Coast</v>
      </c>
      <c r="C25" s="12">
        <f>$B$9</f>
        <v>0.21555037680457612</v>
      </c>
      <c r="D25" s="3" t="str">
        <f>$F$9</f>
        <v>Norway</v>
      </c>
      <c r="E25" s="12">
        <f>$G$9</f>
        <v>0.3119798400423579</v>
      </c>
      <c r="F25" s="13">
        <f t="shared" si="0"/>
        <v>6.7247372076561632E-2</v>
      </c>
      <c r="G25" s="6">
        <f t="shared" si="1"/>
        <v>4</v>
      </c>
    </row>
    <row r="26" spans="1:7" ht="15" customHeight="1" x14ac:dyDescent="0.35">
      <c r="A26" s="6">
        <v>12</v>
      </c>
      <c r="B26" s="3" t="str">
        <f>$A$9</f>
        <v>Ivory Coast</v>
      </c>
      <c r="C26" s="12">
        <f>$B$9</f>
        <v>0.21555037680457612</v>
      </c>
      <c r="D26" s="3" t="str">
        <f>$F$10</f>
        <v>TBD_I4</v>
      </c>
      <c r="E26" s="12">
        <f>$G$10</f>
        <v>3.8613861386138605E-3</v>
      </c>
      <c r="F26" s="13">
        <f t="shared" si="0"/>
        <v>8.3232323716618485E-4</v>
      </c>
      <c r="G26" s="6">
        <f t="shared" si="1"/>
        <v>15</v>
      </c>
    </row>
    <row r="27" spans="1:7" ht="15" customHeight="1" x14ac:dyDescent="0.35">
      <c r="A27" s="6">
        <v>13</v>
      </c>
      <c r="B27" s="3" t="str">
        <f>$A$10</f>
        <v>Curacao</v>
      </c>
      <c r="C27" s="12">
        <f>$B$10</f>
        <v>5.4322681514334479E-3</v>
      </c>
      <c r="D27" s="3" t="str">
        <f>$F$7</f>
        <v>France</v>
      </c>
      <c r="E27" s="12">
        <f>$G$7</f>
        <v>0.23272701110068983</v>
      </c>
      <c r="F27" s="13">
        <f t="shared" si="0"/>
        <v>1.2642355303805759E-3</v>
      </c>
      <c r="G27" s="6">
        <f t="shared" si="1"/>
        <v>12</v>
      </c>
    </row>
    <row r="28" spans="1:7" ht="15" customHeight="1" x14ac:dyDescent="0.35">
      <c r="A28" s="6">
        <v>14</v>
      </c>
      <c r="B28" s="3" t="str">
        <f>$A$10</f>
        <v>Curacao</v>
      </c>
      <c r="C28" s="12">
        <f>$B$10</f>
        <v>5.4322681514334479E-3</v>
      </c>
      <c r="D28" s="3" t="str">
        <f>$F$8</f>
        <v>Senegal</v>
      </c>
      <c r="E28" s="12">
        <f>$G$8</f>
        <v>0.16780301676377021</v>
      </c>
      <c r="F28" s="13">
        <f t="shared" si="0"/>
        <v>9.1155098368028188E-4</v>
      </c>
      <c r="G28" s="6">
        <f t="shared" si="1"/>
        <v>14</v>
      </c>
    </row>
    <row r="29" spans="1:7" ht="15" customHeight="1" x14ac:dyDescent="0.35">
      <c r="A29" s="6">
        <v>15</v>
      </c>
      <c r="B29" s="3" t="str">
        <f>$A$10</f>
        <v>Curacao</v>
      </c>
      <c r="C29" s="12">
        <f>$B$10</f>
        <v>5.4322681514334479E-3</v>
      </c>
      <c r="D29" s="3" t="str">
        <f>$F$9</f>
        <v>Norway</v>
      </c>
      <c r="E29" s="12">
        <f>$G$9</f>
        <v>0.3119798400423579</v>
      </c>
      <c r="F29" s="13">
        <f t="shared" si="0"/>
        <v>1.6947581489514024E-3</v>
      </c>
      <c r="G29" s="6">
        <f t="shared" si="1"/>
        <v>10</v>
      </c>
    </row>
    <row r="30" spans="1:7" ht="15" customHeight="1" x14ac:dyDescent="0.35">
      <c r="A30" s="6">
        <v>16</v>
      </c>
      <c r="B30" s="3" t="str">
        <f>$A$10</f>
        <v>Curacao</v>
      </c>
      <c r="C30" s="12">
        <f>$B$10</f>
        <v>5.4322681514334479E-3</v>
      </c>
      <c r="D30" s="3" t="str">
        <f>$F$10</f>
        <v>TBD_I4</v>
      </c>
      <c r="E30" s="12">
        <f>$G$10</f>
        <v>3.8613861386138605E-3</v>
      </c>
      <c r="F30" s="13">
        <f t="shared" si="0"/>
        <v>2.0976084941178654E-5</v>
      </c>
      <c r="G30" s="6">
        <f t="shared" si="1"/>
        <v>16</v>
      </c>
    </row>
    <row r="33" spans="1:6" ht="15" customHeight="1" x14ac:dyDescent="0.35">
      <c r="A33" s="69" t="s">
        <v>419</v>
      </c>
      <c r="B33" s="69"/>
      <c r="C33" s="69"/>
      <c r="D33" s="69"/>
      <c r="E33" s="69"/>
      <c r="F33" s="69"/>
    </row>
    <row r="34" spans="1:6" ht="15" customHeight="1" x14ac:dyDescent="0.35">
      <c r="A34" s="1" t="s">
        <v>335</v>
      </c>
      <c r="B34" s="1" t="s">
        <v>5</v>
      </c>
      <c r="C34" s="1" t="s">
        <v>336</v>
      </c>
      <c r="D34" s="1" t="s">
        <v>6</v>
      </c>
      <c r="E34" s="1" t="s">
        <v>336</v>
      </c>
      <c r="F34" s="1" t="s">
        <v>337</v>
      </c>
    </row>
    <row r="35" spans="1:6" ht="15" customHeight="1" x14ac:dyDescent="0.35">
      <c r="A35" s="7">
        <v>1</v>
      </c>
      <c r="B35" s="14" t="str">
        <f>IFERROR(INDEX($B$15:$B$30,MATCH(LARGE($F$15:$F$30,1),$F$15:$F$30,0)),"-")</f>
        <v>Ecuador</v>
      </c>
      <c r="C35" s="15">
        <f>IFERROR(INDEX($C$15:$C$30,MATCH(LARGE($F$15:$F$30,1),$F$15:$F$30,0)),0)</f>
        <v>0.35314348946521057</v>
      </c>
      <c r="D35" s="14" t="str">
        <f>IFERROR(INDEX($D$15:$D$30,MATCH(LARGE($F$15:$F$30,1),$F$15:$F$30,0)),"-")</f>
        <v>Norway</v>
      </c>
      <c r="E35" s="15">
        <f>IFERROR(INDEX($E$15:$E$30,MATCH(LARGE($F$15:$F$30,1),$F$15:$F$30,0)),0)</f>
        <v>0.3119798400423579</v>
      </c>
      <c r="F35" s="16">
        <f>LARGE($F$15:$F$30,1)</f>
        <v>0.11017364935535649</v>
      </c>
    </row>
    <row r="36" spans="1:6" ht="15" customHeight="1" x14ac:dyDescent="0.35">
      <c r="A36" s="6">
        <v>2</v>
      </c>
      <c r="B36" s="3" t="str">
        <f>IFERROR(INDEX($B$15:$B$30,MATCH(LARGE($F$15:$F$30,2),$F$15:$F$30,0)),"-")</f>
        <v>Ecuador</v>
      </c>
      <c r="C36" s="12">
        <f>IFERROR(INDEX($C$15:$C$30,MATCH(LARGE($F$15:$F$30,2),$F$15:$F$30,0)),0)</f>
        <v>0.35314348946521057</v>
      </c>
      <c r="D36" s="3" t="str">
        <f>IFERROR(INDEX($D$15:$D$30,MATCH(LARGE($F$15:$F$30,2),$F$15:$F$30,0)),"-")</f>
        <v>France</v>
      </c>
      <c r="E36" s="12">
        <f>IFERROR(INDEX($E$15:$E$30,MATCH(LARGE($F$15:$F$30,2),$F$15:$F$30,0)),0)</f>
        <v>0.23272701110068983</v>
      </c>
      <c r="F36" s="13">
        <f>LARGE($F$15:$F$30,2)</f>
        <v>8.2186028792906402E-2</v>
      </c>
    </row>
    <row r="37" spans="1:6" ht="15" customHeight="1" x14ac:dyDescent="0.35">
      <c r="A37" s="6">
        <v>3</v>
      </c>
      <c r="B37" s="3" t="str">
        <f>IFERROR(INDEX($B$15:$B$30,MATCH(LARGE($F$15:$F$30,3),$F$15:$F$30,0)),"-")</f>
        <v>Germany</v>
      </c>
      <c r="C37" s="12">
        <f>IFERROR(INDEX($C$15:$C$30,MATCH(LARGE($F$15:$F$30,3),$F$15:$F$30,0)),0)</f>
        <v>0.25066506582880882</v>
      </c>
      <c r="D37" s="3" t="str">
        <f>IFERROR(INDEX($D$15:$D$30,MATCH(LARGE($F$15:$F$30,3),$F$15:$F$30,0)),"-")</f>
        <v>Norway</v>
      </c>
      <c r="E37" s="12">
        <f>IFERROR(INDEX($E$15:$E$30,MATCH(LARGE($F$15:$F$30,3),$F$15:$F$30,0)),0)</f>
        <v>0.3119798400423579</v>
      </c>
      <c r="F37" s="13">
        <f>LARGE($F$15:$F$30,3)</f>
        <v>7.8202447141478892E-2</v>
      </c>
    </row>
  </sheetData>
  <mergeCells count="7">
    <mergeCell ref="A13:H13"/>
    <mergeCell ref="A33:F33"/>
    <mergeCell ref="A1:H1"/>
    <mergeCell ref="A2:H2"/>
    <mergeCell ref="B3:C3"/>
    <mergeCell ref="A5:D5"/>
    <mergeCell ref="F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I37"/>
  <sheetViews>
    <sheetView showGridLines="0" zoomScaleNormal="100" workbookViewId="0">
      <selection sqref="A1:H1"/>
    </sheetView>
  </sheetViews>
  <sheetFormatPr defaultColWidth="8.54296875" defaultRowHeight="14.5" x14ac:dyDescent="0.35"/>
  <cols>
    <col min="1" max="1" width="16.81640625" customWidth="1"/>
    <col min="2" max="2" width="14" customWidth="1"/>
    <col min="3" max="3" width="8" customWidth="1"/>
    <col min="4" max="4" width="14" customWidth="1"/>
    <col min="5" max="5" width="8" customWidth="1"/>
    <col min="6" max="6" width="10" customWidth="1"/>
    <col min="7" max="7" width="14.26953125" customWidth="1"/>
    <col min="8" max="8" width="13.26953125" customWidth="1"/>
    <col min="9" max="9" width="9.81640625" customWidth="1"/>
  </cols>
  <sheetData>
    <row r="1" spans="1:9" ht="17.25" customHeight="1" x14ac:dyDescent="0.35">
      <c r="A1" s="63" t="s">
        <v>420</v>
      </c>
      <c r="B1" s="63"/>
      <c r="C1" s="63"/>
      <c r="D1" s="63"/>
      <c r="E1" s="63"/>
      <c r="F1" s="63"/>
      <c r="G1" s="63"/>
      <c r="H1" s="63"/>
    </row>
    <row r="2" spans="1:9" ht="15" customHeight="1" x14ac:dyDescent="0.35">
      <c r="A2" s="61" t="s">
        <v>421</v>
      </c>
      <c r="B2" s="61"/>
      <c r="C2" s="61"/>
      <c r="D2" s="61"/>
      <c r="E2" s="61"/>
      <c r="F2" s="61"/>
      <c r="G2" s="61"/>
      <c r="H2" s="61"/>
    </row>
    <row r="3" spans="1:9" ht="15" customHeight="1" x14ac:dyDescent="0.35">
      <c r="A3" s="11" t="s">
        <v>413</v>
      </c>
      <c r="B3" s="71">
        <f>SCHEDULE!G88</f>
        <v>0</v>
      </c>
      <c r="C3" s="71"/>
    </row>
    <row r="5" spans="1:9" ht="15" customHeight="1" x14ac:dyDescent="0.35">
      <c r="A5" s="72" t="s">
        <v>422</v>
      </c>
      <c r="B5" s="72"/>
      <c r="C5" s="72"/>
      <c r="D5" s="72"/>
      <c r="F5" s="73" t="s">
        <v>423</v>
      </c>
      <c r="G5" s="73"/>
      <c r="H5" s="73"/>
      <c r="I5" s="73"/>
    </row>
    <row r="6" spans="1:9" ht="15" customHeight="1" x14ac:dyDescent="0.35">
      <c r="A6" s="1" t="s">
        <v>356</v>
      </c>
      <c r="B6" s="1" t="s">
        <v>416</v>
      </c>
      <c r="C6" s="1" t="s">
        <v>417</v>
      </c>
      <c r="D6" s="1"/>
      <c r="F6" s="1" t="s">
        <v>356</v>
      </c>
      <c r="G6" s="1" t="s">
        <v>416</v>
      </c>
      <c r="H6" s="1" t="s">
        <v>417</v>
      </c>
      <c r="I6" s="1"/>
    </row>
    <row r="7" spans="1:9" ht="15" customHeight="1" x14ac:dyDescent="0.35">
      <c r="A7" s="3" t="s">
        <v>105</v>
      </c>
      <c r="B7" s="12">
        <f>CALC!$J$36</f>
        <v>0.22530288574888424</v>
      </c>
      <c r="C7" s="6">
        <f>RANK(B7,$B$7:$B$10,0)</f>
        <v>2</v>
      </c>
      <c r="F7" s="3" t="s">
        <v>109</v>
      </c>
      <c r="G7" s="12">
        <f>CALC!$J$41</f>
        <v>0.23809780557502552</v>
      </c>
      <c r="H7" s="6">
        <f>RANK(G7,$G$7:$G$10,0)</f>
        <v>2</v>
      </c>
    </row>
    <row r="8" spans="1:9" ht="15" customHeight="1" x14ac:dyDescent="0.35">
      <c r="A8" s="3" t="s">
        <v>116</v>
      </c>
      <c r="B8" s="12">
        <f>CALC!$J$37</f>
        <v>0.36151025727742897</v>
      </c>
      <c r="C8" s="6">
        <f>RANK(B8,$B$7:$B$10,0)</f>
        <v>1</v>
      </c>
      <c r="F8" s="3" t="s">
        <v>110</v>
      </c>
      <c r="G8" s="12">
        <f>CALC!$J$42</f>
        <v>0.25622663781231553</v>
      </c>
      <c r="H8" s="6">
        <f>RANK(G8,$G$7:$G$10,0)</f>
        <v>1</v>
      </c>
    </row>
    <row r="9" spans="1:9" ht="15" customHeight="1" x14ac:dyDescent="0.35">
      <c r="A9" s="3" t="s">
        <v>115</v>
      </c>
      <c r="B9" s="12">
        <f>CALC!$J$38</f>
        <v>2.2037398474698891E-2</v>
      </c>
      <c r="C9" s="6">
        <f>RANK(B9,$B$7:$B$10,0)</f>
        <v>3</v>
      </c>
      <c r="F9" s="3" t="s">
        <v>112</v>
      </c>
      <c r="G9" s="12">
        <f>CALC!$J$43</f>
        <v>5.9568131049888298E-2</v>
      </c>
      <c r="H9" s="6">
        <f>RANK(G9,$G$7:$G$10,0)</f>
        <v>3</v>
      </c>
    </row>
    <row r="10" spans="1:9" ht="15" customHeight="1" x14ac:dyDescent="0.35">
      <c r="A10" s="3" t="s">
        <v>368</v>
      </c>
      <c r="B10" s="12">
        <f>CALC!$J$39</f>
        <v>3.7969412168175915E-3</v>
      </c>
      <c r="C10" s="6">
        <f>RANK(B10,$B$7:$B$10,0)</f>
        <v>4</v>
      </c>
      <c r="F10" s="3" t="s">
        <v>113</v>
      </c>
      <c r="G10" s="12">
        <f>CALC!$J$44</f>
        <v>3.8288981929265257E-3</v>
      </c>
      <c r="H10" s="6">
        <f>RANK(G10,$G$7:$G$10,0)</f>
        <v>4</v>
      </c>
    </row>
    <row r="13" spans="1:9" ht="15" customHeight="1" x14ac:dyDescent="0.35">
      <c r="A13" s="74" t="s">
        <v>418</v>
      </c>
      <c r="B13" s="74"/>
      <c r="C13" s="74"/>
      <c r="D13" s="74"/>
      <c r="E13" s="74"/>
      <c r="F13" s="74"/>
      <c r="G13" s="74"/>
      <c r="H13" s="74"/>
    </row>
    <row r="14" spans="1:9" ht="15" customHeight="1" x14ac:dyDescent="0.35">
      <c r="A14" s="1" t="s">
        <v>335</v>
      </c>
      <c r="B14" s="1" t="s">
        <v>5</v>
      </c>
      <c r="C14" s="1" t="s">
        <v>336</v>
      </c>
      <c r="D14" s="1" t="s">
        <v>6</v>
      </c>
      <c r="E14" s="1" t="s">
        <v>336</v>
      </c>
      <c r="F14" s="1" t="s">
        <v>337</v>
      </c>
      <c r="G14" s="1" t="s">
        <v>417</v>
      </c>
      <c r="H14" s="1"/>
    </row>
    <row r="15" spans="1:9" ht="15" customHeight="1" x14ac:dyDescent="0.35">
      <c r="A15" s="6">
        <v>1</v>
      </c>
      <c r="B15" s="3" t="str">
        <f>$A$7</f>
        <v>Portugal</v>
      </c>
      <c r="C15" s="12">
        <f>$B$7</f>
        <v>0.22530288574888424</v>
      </c>
      <c r="D15" s="3" t="str">
        <f>$F$7</f>
        <v>England</v>
      </c>
      <c r="E15" s="12">
        <f>$G$7</f>
        <v>0.23809780557502552</v>
      </c>
      <c r="F15" s="13">
        <f t="shared" ref="F15:F30" si="0">C15*E15</f>
        <v>5.364412268653003E-2</v>
      </c>
      <c r="G15" s="6">
        <f t="shared" ref="G15:G30" si="1">RANK(F15,$F$15:$F$30,0)</f>
        <v>4</v>
      </c>
    </row>
    <row r="16" spans="1:9" ht="15" customHeight="1" x14ac:dyDescent="0.35">
      <c r="A16" s="6">
        <v>2</v>
      </c>
      <c r="B16" s="3" t="str">
        <f>$A$7</f>
        <v>Portugal</v>
      </c>
      <c r="C16" s="12">
        <f>$B$7</f>
        <v>0.22530288574888424</v>
      </c>
      <c r="D16" s="3" t="str">
        <f>$F$8</f>
        <v>Croatia</v>
      </c>
      <c r="E16" s="12">
        <f>$G$8</f>
        <v>0.25622663781231553</v>
      </c>
      <c r="F16" s="13">
        <f t="shared" si="0"/>
        <v>5.7728600904848867E-2</v>
      </c>
      <c r="G16" s="6">
        <f t="shared" si="1"/>
        <v>3</v>
      </c>
    </row>
    <row r="17" spans="1:7" ht="15" customHeight="1" x14ac:dyDescent="0.35">
      <c r="A17" s="6">
        <v>3</v>
      </c>
      <c r="B17" s="3" t="str">
        <f>$A$7</f>
        <v>Portugal</v>
      </c>
      <c r="C17" s="12">
        <f>$B$7</f>
        <v>0.22530288574888424</v>
      </c>
      <c r="D17" s="3" t="str">
        <f>$F$9</f>
        <v>Ghana</v>
      </c>
      <c r="E17" s="12">
        <f>$G$9</f>
        <v>5.9568131049888298E-2</v>
      </c>
      <c r="F17" s="13">
        <f t="shared" si="0"/>
        <v>1.3420871824207547E-2</v>
      </c>
      <c r="G17" s="6">
        <f t="shared" si="1"/>
        <v>6</v>
      </c>
    </row>
    <row r="18" spans="1:7" ht="15" customHeight="1" x14ac:dyDescent="0.35">
      <c r="A18" s="6">
        <v>4</v>
      </c>
      <c r="B18" s="3" t="str">
        <f>$A$7</f>
        <v>Portugal</v>
      </c>
      <c r="C18" s="12">
        <f>$B$7</f>
        <v>0.22530288574888424</v>
      </c>
      <c r="D18" s="3" t="str">
        <f>$F$10</f>
        <v>Panama</v>
      </c>
      <c r="E18" s="12">
        <f>$G$10</f>
        <v>3.8288981929265257E-3</v>
      </c>
      <c r="F18" s="13">
        <f t="shared" si="0"/>
        <v>8.626618121050344E-4</v>
      </c>
      <c r="G18" s="6">
        <f t="shared" si="1"/>
        <v>13</v>
      </c>
    </row>
    <row r="19" spans="1:7" ht="15" customHeight="1" x14ac:dyDescent="0.35">
      <c r="A19" s="6">
        <v>5</v>
      </c>
      <c r="B19" s="3" t="str">
        <f>$A$8</f>
        <v>Colombia</v>
      </c>
      <c r="C19" s="12">
        <f>$B$8</f>
        <v>0.36151025727742897</v>
      </c>
      <c r="D19" s="3" t="str">
        <f>$F$7</f>
        <v>England</v>
      </c>
      <c r="E19" s="12">
        <f>$G$7</f>
        <v>0.23809780557502552</v>
      </c>
      <c r="F19" s="13">
        <f t="shared" si="0"/>
        <v>8.6074798950618744E-2</v>
      </c>
      <c r="G19" s="6">
        <f t="shared" si="1"/>
        <v>2</v>
      </c>
    </row>
    <row r="20" spans="1:7" ht="15" customHeight="1" x14ac:dyDescent="0.35">
      <c r="A20" s="6">
        <v>6</v>
      </c>
      <c r="B20" s="3" t="str">
        <f>$A$8</f>
        <v>Colombia</v>
      </c>
      <c r="C20" s="12">
        <f>$B$8</f>
        <v>0.36151025727742897</v>
      </c>
      <c r="D20" s="3" t="str">
        <f>$F$8</f>
        <v>Croatia</v>
      </c>
      <c r="E20" s="12">
        <f>$G$8</f>
        <v>0.25622663781231553</v>
      </c>
      <c r="F20" s="13">
        <f t="shared" si="0"/>
        <v>9.2628557756860797E-2</v>
      </c>
      <c r="G20" s="6">
        <f t="shared" si="1"/>
        <v>1</v>
      </c>
    </row>
    <row r="21" spans="1:7" ht="15" customHeight="1" x14ac:dyDescent="0.35">
      <c r="A21" s="6">
        <v>7</v>
      </c>
      <c r="B21" s="3" t="str">
        <f>$A$8</f>
        <v>Colombia</v>
      </c>
      <c r="C21" s="12">
        <f>$B$8</f>
        <v>0.36151025727742897</v>
      </c>
      <c r="D21" s="3" t="str">
        <f>$F$9</f>
        <v>Ghana</v>
      </c>
      <c r="E21" s="12">
        <f>$G$9</f>
        <v>5.9568131049888298E-2</v>
      </c>
      <c r="F21" s="13">
        <f t="shared" si="0"/>
        <v>2.1534490381380725E-2</v>
      </c>
      <c r="G21" s="6">
        <f t="shared" si="1"/>
        <v>5</v>
      </c>
    </row>
    <row r="22" spans="1:7" ht="15" customHeight="1" x14ac:dyDescent="0.35">
      <c r="A22" s="6">
        <v>8</v>
      </c>
      <c r="B22" s="3" t="str">
        <f>$A$8</f>
        <v>Colombia</v>
      </c>
      <c r="C22" s="12">
        <f>$B$8</f>
        <v>0.36151025727742897</v>
      </c>
      <c r="D22" s="3" t="str">
        <f>$F$10</f>
        <v>Panama</v>
      </c>
      <c r="E22" s="12">
        <f>$G$10</f>
        <v>3.8288981929265257E-3</v>
      </c>
      <c r="F22" s="13">
        <f t="shared" si="0"/>
        <v>1.3841859708139512E-3</v>
      </c>
      <c r="G22" s="6">
        <f t="shared" si="1"/>
        <v>9</v>
      </c>
    </row>
    <row r="23" spans="1:7" ht="15" customHeight="1" x14ac:dyDescent="0.35">
      <c r="A23" s="6">
        <v>9</v>
      </c>
      <c r="B23" s="3" t="str">
        <f>$A$9</f>
        <v>Uzbekistan</v>
      </c>
      <c r="C23" s="12">
        <f>$B$9</f>
        <v>2.2037398474698891E-2</v>
      </c>
      <c r="D23" s="3" t="str">
        <f>$F$7</f>
        <v>England</v>
      </c>
      <c r="E23" s="12">
        <f>$G$7</f>
        <v>0.23809780557502552</v>
      </c>
      <c r="F23" s="13">
        <f t="shared" si="0"/>
        <v>5.2470562174082207E-3</v>
      </c>
      <c r="G23" s="6">
        <f t="shared" si="1"/>
        <v>8</v>
      </c>
    </row>
    <row r="24" spans="1:7" ht="15" customHeight="1" x14ac:dyDescent="0.35">
      <c r="A24" s="6">
        <v>10</v>
      </c>
      <c r="B24" s="3" t="str">
        <f>$A$9</f>
        <v>Uzbekistan</v>
      </c>
      <c r="C24" s="12">
        <f>$B$9</f>
        <v>2.2037398474698891E-2</v>
      </c>
      <c r="D24" s="3" t="str">
        <f>$F$8</f>
        <v>Croatia</v>
      </c>
      <c r="E24" s="12">
        <f>$G$8</f>
        <v>0.25622663781231553</v>
      </c>
      <c r="F24" s="13">
        <f t="shared" si="0"/>
        <v>5.646568517302347E-3</v>
      </c>
      <c r="G24" s="6">
        <f t="shared" si="1"/>
        <v>7</v>
      </c>
    </row>
    <row r="25" spans="1:7" ht="15" customHeight="1" x14ac:dyDescent="0.35">
      <c r="A25" s="6">
        <v>11</v>
      </c>
      <c r="B25" s="3" t="str">
        <f>$A$9</f>
        <v>Uzbekistan</v>
      </c>
      <c r="C25" s="12">
        <f>$B$9</f>
        <v>2.2037398474698891E-2</v>
      </c>
      <c r="D25" s="3" t="str">
        <f>$F$9</f>
        <v>Ghana</v>
      </c>
      <c r="E25" s="12">
        <f>$G$9</f>
        <v>5.9568131049888298E-2</v>
      </c>
      <c r="F25" s="13">
        <f t="shared" si="0"/>
        <v>1.3127266403394719E-3</v>
      </c>
      <c r="G25" s="6">
        <f t="shared" si="1"/>
        <v>10</v>
      </c>
    </row>
    <row r="26" spans="1:7" ht="15" customHeight="1" x14ac:dyDescent="0.35">
      <c r="A26" s="6">
        <v>12</v>
      </c>
      <c r="B26" s="3" t="str">
        <f>$A$9</f>
        <v>Uzbekistan</v>
      </c>
      <c r="C26" s="12">
        <f>$B$9</f>
        <v>2.2037398474698891E-2</v>
      </c>
      <c r="D26" s="3" t="str">
        <f>$F$10</f>
        <v>Panama</v>
      </c>
      <c r="E26" s="12">
        <f>$G$10</f>
        <v>3.8288981929265257E-3</v>
      </c>
      <c r="F26" s="13">
        <f t="shared" si="0"/>
        <v>8.437895519657636E-5</v>
      </c>
      <c r="G26" s="6">
        <f t="shared" si="1"/>
        <v>15</v>
      </c>
    </row>
    <row r="27" spans="1:7" ht="15" customHeight="1" x14ac:dyDescent="0.35">
      <c r="A27" s="6">
        <v>13</v>
      </c>
      <c r="B27" s="3" t="str">
        <f>$A$10</f>
        <v>TBD_K4</v>
      </c>
      <c r="C27" s="12">
        <f>$B$10</f>
        <v>3.7969412168175915E-3</v>
      </c>
      <c r="D27" s="3" t="str">
        <f>$F$7</f>
        <v>England</v>
      </c>
      <c r="E27" s="12">
        <f>$G$7</f>
        <v>0.23809780557502552</v>
      </c>
      <c r="F27" s="13">
        <f t="shared" si="0"/>
        <v>9.0404337162163569E-4</v>
      </c>
      <c r="G27" s="6">
        <f t="shared" si="1"/>
        <v>12</v>
      </c>
    </row>
    <row r="28" spans="1:7" ht="15" customHeight="1" x14ac:dyDescent="0.35">
      <c r="A28" s="6">
        <v>14</v>
      </c>
      <c r="B28" s="3" t="str">
        <f>$A$10</f>
        <v>TBD_K4</v>
      </c>
      <c r="C28" s="12">
        <f>$B$10</f>
        <v>3.7969412168175915E-3</v>
      </c>
      <c r="D28" s="3" t="str">
        <f>$F$8</f>
        <v>Croatia</v>
      </c>
      <c r="E28" s="12">
        <f>$G$8</f>
        <v>0.25622663781231553</v>
      </c>
      <c r="F28" s="13">
        <f t="shared" si="0"/>
        <v>9.7287748195617368E-4</v>
      </c>
      <c r="G28" s="6">
        <f t="shared" si="1"/>
        <v>11</v>
      </c>
    </row>
    <row r="29" spans="1:7" ht="15" customHeight="1" x14ac:dyDescent="0.35">
      <c r="A29" s="6">
        <v>15</v>
      </c>
      <c r="B29" s="3" t="str">
        <f>$A$10</f>
        <v>TBD_K4</v>
      </c>
      <c r="C29" s="12">
        <f>$B$10</f>
        <v>3.7969412168175915E-3</v>
      </c>
      <c r="D29" s="3" t="str">
        <f>$F$9</f>
        <v>Ghana</v>
      </c>
      <c r="E29" s="12">
        <f>$G$9</f>
        <v>5.9568131049888298E-2</v>
      </c>
      <c r="F29" s="13">
        <f t="shared" si="0"/>
        <v>2.2617669199211264E-4</v>
      </c>
      <c r="G29" s="6">
        <f t="shared" si="1"/>
        <v>14</v>
      </c>
    </row>
    <row r="30" spans="1:7" ht="15" customHeight="1" x14ac:dyDescent="0.35">
      <c r="A30" s="6">
        <v>16</v>
      </c>
      <c r="B30" s="3" t="str">
        <f>$A$10</f>
        <v>TBD_K4</v>
      </c>
      <c r="C30" s="12">
        <f>$B$10</f>
        <v>3.7969412168175915E-3</v>
      </c>
      <c r="D30" s="3" t="str">
        <f>$F$10</f>
        <v>Panama</v>
      </c>
      <c r="E30" s="12">
        <f>$G$10</f>
        <v>3.8288981929265257E-3</v>
      </c>
      <c r="F30" s="13">
        <f t="shared" si="0"/>
        <v>1.453810136372112E-5</v>
      </c>
      <c r="G30" s="6">
        <f t="shared" si="1"/>
        <v>16</v>
      </c>
    </row>
    <row r="33" spans="1:6" ht="15" customHeight="1" x14ac:dyDescent="0.35">
      <c r="A33" s="75" t="s">
        <v>419</v>
      </c>
      <c r="B33" s="75"/>
      <c r="C33" s="75"/>
      <c r="D33" s="75"/>
      <c r="E33" s="75"/>
      <c r="F33" s="75"/>
    </row>
    <row r="34" spans="1:6" ht="15" customHeight="1" x14ac:dyDescent="0.35">
      <c r="A34" s="1" t="s">
        <v>335</v>
      </c>
      <c r="B34" s="1" t="s">
        <v>5</v>
      </c>
      <c r="C34" s="1" t="s">
        <v>336</v>
      </c>
      <c r="D34" s="1" t="s">
        <v>6</v>
      </c>
      <c r="E34" s="1" t="s">
        <v>336</v>
      </c>
      <c r="F34" s="1" t="s">
        <v>337</v>
      </c>
    </row>
    <row r="35" spans="1:6" ht="15" customHeight="1" x14ac:dyDescent="0.35">
      <c r="A35" s="7">
        <v>1</v>
      </c>
      <c r="B35" s="14" t="str">
        <f>IFERROR(INDEX($B$15:$B$30,MATCH(LARGE($F$15:$F$30,1),$F$15:$F$30,0)),"-")</f>
        <v>Colombia</v>
      </c>
      <c r="C35" s="15">
        <f>IFERROR(INDEX($C$15:$C$30,MATCH(LARGE($F$15:$F$30,1),$F$15:$F$30,0)),0)</f>
        <v>0.36151025727742897</v>
      </c>
      <c r="D35" s="14" t="str">
        <f>IFERROR(INDEX($D$15:$D$30,MATCH(LARGE($F$15:$F$30,1),$F$15:$F$30,0)),"-")</f>
        <v>Croatia</v>
      </c>
      <c r="E35" s="15">
        <f>IFERROR(INDEX($E$15:$E$30,MATCH(LARGE($F$15:$F$30,1),$F$15:$F$30,0)),0)</f>
        <v>0.25622663781231553</v>
      </c>
      <c r="F35" s="16">
        <f>LARGE($F$15:$F$30,1)</f>
        <v>9.2628557756860797E-2</v>
      </c>
    </row>
    <row r="36" spans="1:6" ht="15" customHeight="1" x14ac:dyDescent="0.35">
      <c r="A36" s="6">
        <v>2</v>
      </c>
      <c r="B36" s="3" t="str">
        <f>IFERROR(INDEX($B$15:$B$30,MATCH(LARGE($F$15:$F$30,2),$F$15:$F$30,0)),"-")</f>
        <v>Colombia</v>
      </c>
      <c r="C36" s="12">
        <f>IFERROR(INDEX($C$15:$C$30,MATCH(LARGE($F$15:$F$30,2),$F$15:$F$30,0)),0)</f>
        <v>0.36151025727742897</v>
      </c>
      <c r="D36" s="3" t="str">
        <f>IFERROR(INDEX($D$15:$D$30,MATCH(LARGE($F$15:$F$30,2),$F$15:$F$30,0)),"-")</f>
        <v>England</v>
      </c>
      <c r="E36" s="12">
        <f>IFERROR(INDEX($E$15:$E$30,MATCH(LARGE($F$15:$F$30,2),$F$15:$F$30,0)),0)</f>
        <v>0.23809780557502552</v>
      </c>
      <c r="F36" s="13">
        <f>LARGE($F$15:$F$30,2)</f>
        <v>8.6074798950618744E-2</v>
      </c>
    </row>
    <row r="37" spans="1:6" ht="15" customHeight="1" x14ac:dyDescent="0.35">
      <c r="A37" s="6">
        <v>3</v>
      </c>
      <c r="B37" s="3" t="str">
        <f>IFERROR(INDEX($B$15:$B$30,MATCH(LARGE($F$15:$F$30,3),$F$15:$F$30,0)),"-")</f>
        <v>Portugal</v>
      </c>
      <c r="C37" s="12">
        <f>IFERROR(INDEX($C$15:$C$30,MATCH(LARGE($F$15:$F$30,3),$F$15:$F$30,0)),0)</f>
        <v>0.22530288574888424</v>
      </c>
      <c r="D37" s="3" t="str">
        <f>IFERROR(INDEX($D$15:$D$30,MATCH(LARGE($F$15:$F$30,3),$F$15:$F$30,0)),"-")</f>
        <v>Croatia</v>
      </c>
      <c r="E37" s="12">
        <f>IFERROR(INDEX($E$15:$E$30,MATCH(LARGE($F$15:$F$30,3),$F$15:$F$30,0)),0)</f>
        <v>0.25622663781231553</v>
      </c>
      <c r="F37" s="13">
        <f>LARGE($F$15:$F$30,3)</f>
        <v>5.7728600904848867E-2</v>
      </c>
    </row>
  </sheetData>
  <mergeCells count="7">
    <mergeCell ref="A13:H13"/>
    <mergeCell ref="A33:F33"/>
    <mergeCell ref="A1:H1"/>
    <mergeCell ref="A2:H2"/>
    <mergeCell ref="B3:C3"/>
    <mergeCell ref="A5:D5"/>
    <mergeCell ref="F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showGridLines="0" zoomScaleNormal="100" workbookViewId="0">
      <selection sqref="A1:H1"/>
    </sheetView>
  </sheetViews>
  <sheetFormatPr defaultColWidth="8.54296875" defaultRowHeight="14.5" x14ac:dyDescent="0.35"/>
  <cols>
    <col min="1" max="1" width="15.81640625" customWidth="1"/>
    <col min="2" max="2" width="14" customWidth="1"/>
    <col min="3" max="3" width="8" customWidth="1"/>
    <col min="4" max="4" width="14" customWidth="1"/>
    <col min="5" max="5" width="8" customWidth="1"/>
    <col min="6" max="6" width="10" customWidth="1"/>
    <col min="7" max="7" width="14.1796875" customWidth="1"/>
    <col min="8" max="8" width="16.54296875" customWidth="1"/>
    <col min="9" max="9" width="2" customWidth="1"/>
  </cols>
  <sheetData>
    <row r="1" spans="1:9" ht="17.25" customHeight="1" x14ac:dyDescent="0.35">
      <c r="A1" s="63" t="s">
        <v>424</v>
      </c>
      <c r="B1" s="63"/>
      <c r="C1" s="63"/>
      <c r="D1" s="63"/>
      <c r="E1" s="63"/>
      <c r="F1" s="63"/>
      <c r="G1" s="63"/>
      <c r="H1" s="63"/>
    </row>
    <row r="2" spans="1:9" ht="15" customHeight="1" x14ac:dyDescent="0.35">
      <c r="A2" s="61" t="s">
        <v>425</v>
      </c>
      <c r="B2" s="61"/>
      <c r="C2" s="61"/>
      <c r="D2" s="61"/>
      <c r="E2" s="61"/>
      <c r="F2" s="61"/>
      <c r="G2" s="61"/>
      <c r="H2" s="61"/>
    </row>
    <row r="3" spans="1:9" ht="15" customHeight="1" x14ac:dyDescent="0.35">
      <c r="A3" s="11" t="s">
        <v>413</v>
      </c>
      <c r="B3" s="71"/>
      <c r="C3" s="71"/>
    </row>
    <row r="5" spans="1:9" ht="15" customHeight="1" x14ac:dyDescent="0.35">
      <c r="A5" s="72" t="s">
        <v>426</v>
      </c>
      <c r="B5" s="72"/>
      <c r="C5" s="72"/>
      <c r="D5" s="72"/>
      <c r="F5" s="73" t="s">
        <v>427</v>
      </c>
      <c r="G5" s="73"/>
      <c r="H5" s="73"/>
      <c r="I5" s="73"/>
    </row>
    <row r="6" spans="1:9" ht="15" customHeight="1" x14ac:dyDescent="0.35">
      <c r="A6" s="1" t="s">
        <v>356</v>
      </c>
      <c r="B6" s="1" t="s">
        <v>428</v>
      </c>
      <c r="C6" s="1" t="s">
        <v>417</v>
      </c>
      <c r="D6" s="1"/>
      <c r="F6" s="1" t="s">
        <v>356</v>
      </c>
      <c r="G6" s="1" t="s">
        <v>416</v>
      </c>
      <c r="H6" s="1" t="s">
        <v>417</v>
      </c>
      <c r="I6" s="1"/>
    </row>
    <row r="7" spans="1:9" ht="15" customHeight="1" x14ac:dyDescent="0.35">
      <c r="A7" s="3" t="s">
        <v>70</v>
      </c>
      <c r="B7" s="12">
        <f>CALC!$I$21</f>
        <v>0.77450980392156865</v>
      </c>
      <c r="C7" s="6">
        <f>RANK(B7,$B$7:$B$10,0)</f>
        <v>1</v>
      </c>
      <c r="F7" s="3" t="s">
        <v>96</v>
      </c>
      <c r="G7" s="12">
        <f>CALC!$J$31</f>
        <v>0.2560072896865449</v>
      </c>
      <c r="H7" s="6">
        <f>RANK(G7,$G$7:$G$10,0)</f>
        <v>2</v>
      </c>
    </row>
    <row r="8" spans="1:9" ht="15" customHeight="1" x14ac:dyDescent="0.35">
      <c r="A8" s="3" t="s">
        <v>80</v>
      </c>
      <c r="B8" s="12">
        <f>CALC!$I$22</f>
        <v>0.14705882352941177</v>
      </c>
      <c r="C8" s="6">
        <f>RANK(B8,$B$7:$B$10,0)</f>
        <v>2</v>
      </c>
      <c r="F8" s="3" t="s">
        <v>100</v>
      </c>
      <c r="G8" s="12">
        <f>CALC!$J$32</f>
        <v>0.2700058172335344</v>
      </c>
      <c r="H8" s="6">
        <f>RANK(G8,$G$7:$G$10,0)</f>
        <v>1</v>
      </c>
    </row>
    <row r="9" spans="1:9" ht="15" customHeight="1" x14ac:dyDescent="0.35">
      <c r="A9" s="3" t="s">
        <v>79</v>
      </c>
      <c r="B9" s="12">
        <f>CALC!$I$23</f>
        <v>3.9215686274509803E-2</v>
      </c>
      <c r="C9" s="6">
        <f>RANK(B9,$B$7:$B$10,0)</f>
        <v>3</v>
      </c>
      <c r="F9" s="3" t="s">
        <v>101</v>
      </c>
      <c r="G9" s="12">
        <f>CALC!$J$33</f>
        <v>4.8558415275207691E-2</v>
      </c>
      <c r="H9" s="6">
        <f>RANK(G9,$G$7:$G$10,0)</f>
        <v>4</v>
      </c>
    </row>
    <row r="10" spans="1:9" ht="15" customHeight="1" x14ac:dyDescent="0.35">
      <c r="A10" s="3" t="s">
        <v>71</v>
      </c>
      <c r="B10" s="12">
        <f>CALC!$I$24</f>
        <v>3.9215686274509803E-2</v>
      </c>
      <c r="C10" s="6">
        <f>RANK(B10,$B$7:$B$10,0)</f>
        <v>3</v>
      </c>
      <c r="F10" s="3" t="s">
        <v>97</v>
      </c>
      <c r="G10" s="12">
        <f>CALC!$J$34</f>
        <v>0.18031344790839449</v>
      </c>
      <c r="H10" s="6">
        <f>RANK(G10,$G$7:$G$10,0)</f>
        <v>3</v>
      </c>
    </row>
    <row r="13" spans="1:9" ht="15" customHeight="1" x14ac:dyDescent="0.35">
      <c r="A13" s="74" t="s">
        <v>418</v>
      </c>
      <c r="B13" s="74"/>
      <c r="C13" s="74"/>
      <c r="D13" s="74"/>
      <c r="E13" s="74"/>
      <c r="F13" s="74"/>
      <c r="G13" s="74"/>
      <c r="H13" s="74"/>
    </row>
    <row r="14" spans="1:9" ht="15" customHeight="1" x14ac:dyDescent="0.35">
      <c r="A14" s="1" t="s">
        <v>335</v>
      </c>
      <c r="B14" s="1" t="s">
        <v>5</v>
      </c>
      <c r="C14" s="1" t="s">
        <v>336</v>
      </c>
      <c r="D14" s="1" t="s">
        <v>6</v>
      </c>
      <c r="E14" s="1" t="s">
        <v>336</v>
      </c>
      <c r="F14" s="1" t="s">
        <v>337</v>
      </c>
      <c r="G14" s="1" t="s">
        <v>417</v>
      </c>
      <c r="H14" s="1"/>
    </row>
    <row r="15" spans="1:9" ht="15" customHeight="1" x14ac:dyDescent="0.35">
      <c r="A15" s="6">
        <v>1</v>
      </c>
      <c r="B15" s="3" t="str">
        <f>$A$7</f>
        <v>Spain</v>
      </c>
      <c r="C15" s="12">
        <f>$B$7</f>
        <v>0.77450980392156865</v>
      </c>
      <c r="D15" s="3" t="str">
        <f>$F$7</f>
        <v>Argentina</v>
      </c>
      <c r="E15" s="12">
        <f>$G$7</f>
        <v>0.2560072896865449</v>
      </c>
      <c r="F15" s="13">
        <f t="shared" ref="F15:F30" si="0">C15*E15</f>
        <v>0.19828015573761812</v>
      </c>
      <c r="G15" s="6">
        <f t="shared" ref="G15:G30" si="1">RANK(F15,$F$15:$F$30,0)</f>
        <v>2</v>
      </c>
    </row>
    <row r="16" spans="1:9" ht="15" customHeight="1" x14ac:dyDescent="0.35">
      <c r="A16" s="6">
        <v>2</v>
      </c>
      <c r="B16" s="3" t="str">
        <f>$A$7</f>
        <v>Spain</v>
      </c>
      <c r="C16" s="12">
        <f>$B$7</f>
        <v>0.77450980392156865</v>
      </c>
      <c r="D16" s="3" t="str">
        <f>$F$8</f>
        <v>Austria</v>
      </c>
      <c r="E16" s="12">
        <f>$G$8</f>
        <v>0.2700058172335344</v>
      </c>
      <c r="F16" s="13">
        <f t="shared" si="0"/>
        <v>0.20912215256322764</v>
      </c>
      <c r="G16" s="6">
        <f t="shared" si="1"/>
        <v>1</v>
      </c>
    </row>
    <row r="17" spans="1:7" ht="15" customHeight="1" x14ac:dyDescent="0.35">
      <c r="A17" s="6">
        <v>3</v>
      </c>
      <c r="B17" s="3" t="str">
        <f>$A$7</f>
        <v>Spain</v>
      </c>
      <c r="C17" s="12">
        <f>$B$7</f>
        <v>0.77450980392156865</v>
      </c>
      <c r="D17" s="3" t="str">
        <f>$F$9</f>
        <v>Jordan</v>
      </c>
      <c r="E17" s="12">
        <f>$G$9</f>
        <v>4.8558415275207691E-2</v>
      </c>
      <c r="F17" s="13">
        <f t="shared" si="0"/>
        <v>3.7608968693543215E-2</v>
      </c>
      <c r="G17" s="6">
        <f t="shared" si="1"/>
        <v>6</v>
      </c>
    </row>
    <row r="18" spans="1:7" ht="15" customHeight="1" x14ac:dyDescent="0.35">
      <c r="A18" s="6">
        <v>4</v>
      </c>
      <c r="B18" s="3" t="str">
        <f>$A$7</f>
        <v>Spain</v>
      </c>
      <c r="C18" s="12">
        <f>$B$7</f>
        <v>0.77450980392156865</v>
      </c>
      <c r="D18" s="3" t="str">
        <f>$F$10</f>
        <v>Algeria</v>
      </c>
      <c r="E18" s="12">
        <f>$G$10</f>
        <v>0.18031344790839449</v>
      </c>
      <c r="F18" s="13">
        <f t="shared" si="0"/>
        <v>0.1396545331839526</v>
      </c>
      <c r="G18" s="6">
        <f t="shared" si="1"/>
        <v>3</v>
      </c>
    </row>
    <row r="19" spans="1:7" ht="15" customHeight="1" x14ac:dyDescent="0.35">
      <c r="A19" s="6">
        <v>5</v>
      </c>
      <c r="B19" s="3" t="str">
        <f>$A$8</f>
        <v>Uruguay</v>
      </c>
      <c r="C19" s="12">
        <f>$B$8</f>
        <v>0.14705882352941177</v>
      </c>
      <c r="D19" s="3" t="str">
        <f>$F$7</f>
        <v>Argentina</v>
      </c>
      <c r="E19" s="12">
        <f>$G$7</f>
        <v>0.2560072896865449</v>
      </c>
      <c r="F19" s="13">
        <f t="shared" si="0"/>
        <v>3.7648130836256608E-2</v>
      </c>
      <c r="G19" s="6">
        <f t="shared" si="1"/>
        <v>5</v>
      </c>
    </row>
    <row r="20" spans="1:7" ht="15" customHeight="1" x14ac:dyDescent="0.35">
      <c r="A20" s="6">
        <v>6</v>
      </c>
      <c r="B20" s="3" t="str">
        <f>$A$8</f>
        <v>Uruguay</v>
      </c>
      <c r="C20" s="12">
        <f>$B$8</f>
        <v>0.14705882352941177</v>
      </c>
      <c r="D20" s="3" t="str">
        <f>$F$8</f>
        <v>Austria</v>
      </c>
      <c r="E20" s="12">
        <f>$G$8</f>
        <v>0.2700058172335344</v>
      </c>
      <c r="F20" s="13">
        <f t="shared" si="0"/>
        <v>3.9706737828460945E-2</v>
      </c>
      <c r="G20" s="6">
        <f t="shared" si="1"/>
        <v>4</v>
      </c>
    </row>
    <row r="21" spans="1:7" ht="15" customHeight="1" x14ac:dyDescent="0.35">
      <c r="A21" s="6">
        <v>7</v>
      </c>
      <c r="B21" s="3" t="str">
        <f>$A$8</f>
        <v>Uruguay</v>
      </c>
      <c r="C21" s="12">
        <f>$B$8</f>
        <v>0.14705882352941177</v>
      </c>
      <c r="D21" s="3" t="str">
        <f>$F$9</f>
        <v>Jordan</v>
      </c>
      <c r="E21" s="12">
        <f>$G$9</f>
        <v>4.8558415275207691E-2</v>
      </c>
      <c r="F21" s="13">
        <f t="shared" si="0"/>
        <v>7.140943422824661E-3</v>
      </c>
      <c r="G21" s="6">
        <f t="shared" si="1"/>
        <v>12</v>
      </c>
    </row>
    <row r="22" spans="1:7" ht="15" customHeight="1" x14ac:dyDescent="0.35">
      <c r="A22" s="6">
        <v>8</v>
      </c>
      <c r="B22" s="3" t="str">
        <f>$A$8</f>
        <v>Uruguay</v>
      </c>
      <c r="C22" s="12">
        <f>$B$8</f>
        <v>0.14705882352941177</v>
      </c>
      <c r="D22" s="3" t="str">
        <f>$F$10</f>
        <v>Algeria</v>
      </c>
      <c r="E22" s="12">
        <f>$G$10</f>
        <v>0.18031344790839449</v>
      </c>
      <c r="F22" s="13">
        <f t="shared" si="0"/>
        <v>2.6516683515940366E-2</v>
      </c>
      <c r="G22" s="6">
        <f t="shared" si="1"/>
        <v>7</v>
      </c>
    </row>
    <row r="23" spans="1:7" ht="15" customHeight="1" x14ac:dyDescent="0.35">
      <c r="A23" s="6">
        <v>9</v>
      </c>
      <c r="B23" s="3" t="str">
        <f>$A$9</f>
        <v>Saudi Arabia</v>
      </c>
      <c r="C23" s="12">
        <f>$B$9</f>
        <v>3.9215686274509803E-2</v>
      </c>
      <c r="D23" s="3" t="str">
        <f>$F$7</f>
        <v>Argentina</v>
      </c>
      <c r="E23" s="12">
        <f>$G$7</f>
        <v>0.2560072896865449</v>
      </c>
      <c r="F23" s="13">
        <f t="shared" si="0"/>
        <v>1.0039501556335094E-2</v>
      </c>
      <c r="G23" s="6">
        <f t="shared" si="1"/>
        <v>10</v>
      </c>
    </row>
    <row r="24" spans="1:7" ht="15" customHeight="1" x14ac:dyDescent="0.35">
      <c r="A24" s="6">
        <v>10</v>
      </c>
      <c r="B24" s="3" t="str">
        <f>$A$9</f>
        <v>Saudi Arabia</v>
      </c>
      <c r="C24" s="12">
        <f>$B$9</f>
        <v>3.9215686274509803E-2</v>
      </c>
      <c r="D24" s="3" t="str">
        <f>$F$8</f>
        <v>Austria</v>
      </c>
      <c r="E24" s="12">
        <f>$G$8</f>
        <v>0.2700058172335344</v>
      </c>
      <c r="F24" s="13">
        <f t="shared" si="0"/>
        <v>1.0588463420922917E-2</v>
      </c>
      <c r="G24" s="6">
        <f t="shared" si="1"/>
        <v>8</v>
      </c>
    </row>
    <row r="25" spans="1:7" ht="15" customHeight="1" x14ac:dyDescent="0.35">
      <c r="A25" s="6">
        <v>11</v>
      </c>
      <c r="B25" s="3" t="str">
        <f>$A$9</f>
        <v>Saudi Arabia</v>
      </c>
      <c r="C25" s="12">
        <f>$B$9</f>
        <v>3.9215686274509803E-2</v>
      </c>
      <c r="D25" s="3" t="str">
        <f>$F$9</f>
        <v>Jordan</v>
      </c>
      <c r="E25" s="12">
        <f>$G$9</f>
        <v>4.8558415275207691E-2</v>
      </c>
      <c r="F25" s="13">
        <f t="shared" si="0"/>
        <v>1.9042515794199094E-3</v>
      </c>
      <c r="G25" s="6">
        <f t="shared" si="1"/>
        <v>15</v>
      </c>
    </row>
    <row r="26" spans="1:7" ht="15" customHeight="1" x14ac:dyDescent="0.35">
      <c r="A26" s="6">
        <v>12</v>
      </c>
      <c r="B26" s="3" t="str">
        <f>$A$9</f>
        <v>Saudi Arabia</v>
      </c>
      <c r="C26" s="12">
        <f>$B$9</f>
        <v>3.9215686274509803E-2</v>
      </c>
      <c r="D26" s="3" t="str">
        <f>$F$10</f>
        <v>Algeria</v>
      </c>
      <c r="E26" s="12">
        <f>$G$10</f>
        <v>0.18031344790839449</v>
      </c>
      <c r="F26" s="13">
        <f t="shared" si="0"/>
        <v>7.0711156042507642E-3</v>
      </c>
      <c r="G26" s="6">
        <f t="shared" si="1"/>
        <v>13</v>
      </c>
    </row>
    <row r="27" spans="1:7" ht="15" customHeight="1" x14ac:dyDescent="0.35">
      <c r="A27" s="6">
        <v>13</v>
      </c>
      <c r="B27" s="3" t="str">
        <f>$A$10</f>
        <v>Cape Verde</v>
      </c>
      <c r="C27" s="12">
        <f>$B$10</f>
        <v>3.9215686274509803E-2</v>
      </c>
      <c r="D27" s="3" t="str">
        <f>$F$7</f>
        <v>Argentina</v>
      </c>
      <c r="E27" s="12">
        <f>$G$7</f>
        <v>0.2560072896865449</v>
      </c>
      <c r="F27" s="13">
        <f t="shared" si="0"/>
        <v>1.0039501556335094E-2</v>
      </c>
      <c r="G27" s="6">
        <f t="shared" si="1"/>
        <v>10</v>
      </c>
    </row>
    <row r="28" spans="1:7" ht="15" customHeight="1" x14ac:dyDescent="0.35">
      <c r="A28" s="6">
        <v>14</v>
      </c>
      <c r="B28" s="3" t="str">
        <f>$A$10</f>
        <v>Cape Verde</v>
      </c>
      <c r="C28" s="12">
        <f>$B$10</f>
        <v>3.9215686274509803E-2</v>
      </c>
      <c r="D28" s="3" t="str">
        <f>$F$8</f>
        <v>Austria</v>
      </c>
      <c r="E28" s="12">
        <f>$G$8</f>
        <v>0.2700058172335344</v>
      </c>
      <c r="F28" s="13">
        <f t="shared" si="0"/>
        <v>1.0588463420922917E-2</v>
      </c>
      <c r="G28" s="6">
        <f t="shared" si="1"/>
        <v>8</v>
      </c>
    </row>
    <row r="29" spans="1:7" ht="15" customHeight="1" x14ac:dyDescent="0.35">
      <c r="A29" s="6">
        <v>15</v>
      </c>
      <c r="B29" s="3" t="str">
        <f>$A$10</f>
        <v>Cape Verde</v>
      </c>
      <c r="C29" s="12">
        <f>$B$10</f>
        <v>3.9215686274509803E-2</v>
      </c>
      <c r="D29" s="3" t="str">
        <f>$F$9</f>
        <v>Jordan</v>
      </c>
      <c r="E29" s="12">
        <f>$G$9</f>
        <v>4.8558415275207691E-2</v>
      </c>
      <c r="F29" s="13">
        <f t="shared" si="0"/>
        <v>1.9042515794199094E-3</v>
      </c>
      <c r="G29" s="6">
        <f t="shared" si="1"/>
        <v>15</v>
      </c>
    </row>
    <row r="30" spans="1:7" ht="15" customHeight="1" x14ac:dyDescent="0.35">
      <c r="A30" s="6">
        <v>16</v>
      </c>
      <c r="B30" s="3" t="str">
        <f>$A$10</f>
        <v>Cape Verde</v>
      </c>
      <c r="C30" s="12">
        <f>$B$10</f>
        <v>3.9215686274509803E-2</v>
      </c>
      <c r="D30" s="3" t="str">
        <f>$F$10</f>
        <v>Algeria</v>
      </c>
      <c r="E30" s="12">
        <f>$G$10</f>
        <v>0.18031344790839449</v>
      </c>
      <c r="F30" s="13">
        <f t="shared" si="0"/>
        <v>7.0711156042507642E-3</v>
      </c>
      <c r="G30" s="6">
        <f t="shared" si="1"/>
        <v>13</v>
      </c>
    </row>
    <row r="33" spans="1:6" ht="15" customHeight="1" x14ac:dyDescent="0.35">
      <c r="A33" s="75" t="s">
        <v>419</v>
      </c>
      <c r="B33" s="75"/>
      <c r="C33" s="75"/>
      <c r="D33" s="75"/>
      <c r="E33" s="75"/>
      <c r="F33" s="75"/>
    </row>
    <row r="34" spans="1:6" ht="15" customHeight="1" x14ac:dyDescent="0.35">
      <c r="A34" s="1" t="s">
        <v>335</v>
      </c>
      <c r="B34" s="1" t="s">
        <v>5</v>
      </c>
      <c r="C34" s="1" t="s">
        <v>336</v>
      </c>
      <c r="D34" s="1" t="s">
        <v>6</v>
      </c>
      <c r="E34" s="1" t="s">
        <v>336</v>
      </c>
      <c r="F34" s="1" t="s">
        <v>337</v>
      </c>
    </row>
    <row r="35" spans="1:6" ht="15" customHeight="1" x14ac:dyDescent="0.35">
      <c r="A35" s="7">
        <v>1</v>
      </c>
      <c r="B35" s="14" t="str">
        <f>IFERROR(INDEX($B$15:$B$30,MATCH(LARGE($F$15:$F$30,1),$F$15:$F$30,0)),"-")</f>
        <v>Spain</v>
      </c>
      <c r="C35" s="15">
        <f>IFERROR(INDEX($C$15:$C$30,MATCH(LARGE($F$15:$F$30,1),$F$15:$F$30,0)),0)</f>
        <v>0.77450980392156865</v>
      </c>
      <c r="D35" s="14" t="str">
        <f>IFERROR(INDEX($D$15:$D$30,MATCH(LARGE($F$15:$F$30,1),$F$15:$F$30,0)),"-")</f>
        <v>Austria</v>
      </c>
      <c r="E35" s="15">
        <f>IFERROR(INDEX($E$15:$E$30,MATCH(LARGE($F$15:$F$30,1),$F$15:$F$30,0)),0)</f>
        <v>0.2700058172335344</v>
      </c>
      <c r="F35" s="16">
        <f>LARGE($F$15:$F$30,1)</f>
        <v>0.20912215256322764</v>
      </c>
    </row>
    <row r="36" spans="1:6" ht="15" customHeight="1" x14ac:dyDescent="0.35">
      <c r="A36" s="6">
        <v>2</v>
      </c>
      <c r="B36" s="3" t="str">
        <f>IFERROR(INDEX($B$15:$B$30,MATCH(LARGE($F$15:$F$30,2),$F$15:$F$30,0)),"-")</f>
        <v>Spain</v>
      </c>
      <c r="C36" s="12">
        <f>IFERROR(INDEX($C$15:$C$30,MATCH(LARGE($F$15:$F$30,2),$F$15:$F$30,0)),0)</f>
        <v>0.77450980392156865</v>
      </c>
      <c r="D36" s="3" t="str">
        <f>IFERROR(INDEX($D$15:$D$30,MATCH(LARGE($F$15:$F$30,2),$F$15:$F$30,0)),"-")</f>
        <v>Argentina</v>
      </c>
      <c r="E36" s="12">
        <f>IFERROR(INDEX($E$15:$E$30,MATCH(LARGE($F$15:$F$30,2),$F$15:$F$30,0)),0)</f>
        <v>0.2560072896865449</v>
      </c>
      <c r="F36" s="13">
        <f>LARGE($F$15:$F$30,2)</f>
        <v>0.19828015573761812</v>
      </c>
    </row>
    <row r="37" spans="1:6" ht="15" customHeight="1" x14ac:dyDescent="0.35">
      <c r="A37" s="6">
        <v>3</v>
      </c>
      <c r="B37" s="3" t="str">
        <f>IFERROR(INDEX($B$15:$B$30,MATCH(LARGE($F$15:$F$30,3),$F$15:$F$30,0)),"-")</f>
        <v>Spain</v>
      </c>
      <c r="C37" s="12">
        <f>IFERROR(INDEX($C$15:$C$30,MATCH(LARGE($F$15:$F$30,3),$F$15:$F$30,0)),0)</f>
        <v>0.77450980392156865</v>
      </c>
      <c r="D37" s="3" t="str">
        <f>IFERROR(INDEX($D$15:$D$30,MATCH(LARGE($F$15:$F$30,3),$F$15:$F$30,0)),"-")</f>
        <v>Algeria</v>
      </c>
      <c r="E37" s="12">
        <f>IFERROR(INDEX($E$15:$E$30,MATCH(LARGE($F$15:$F$30,3),$F$15:$F$30,0)),0)</f>
        <v>0.18031344790839449</v>
      </c>
      <c r="F37" s="13">
        <f>LARGE($F$15:$F$30,3)</f>
        <v>0.1396545331839526</v>
      </c>
    </row>
  </sheetData>
  <mergeCells count="7">
    <mergeCell ref="A13:H13"/>
    <mergeCell ref="A33:F33"/>
    <mergeCell ref="A1:H1"/>
    <mergeCell ref="A2:H2"/>
    <mergeCell ref="B3:C3"/>
    <mergeCell ref="A5:D5"/>
    <mergeCell ref="F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I37"/>
  <sheetViews>
    <sheetView showGridLines="0" zoomScaleNormal="100" workbookViewId="0">
      <selection sqref="A1:H1"/>
    </sheetView>
  </sheetViews>
  <sheetFormatPr defaultColWidth="8.54296875" defaultRowHeight="14.5" x14ac:dyDescent="0.35"/>
  <cols>
    <col min="1" max="1" width="17.7265625" customWidth="1"/>
    <col min="2" max="2" width="14" customWidth="1"/>
    <col min="3" max="3" width="8" customWidth="1"/>
    <col min="4" max="4" width="14" customWidth="1"/>
    <col min="5" max="5" width="8" customWidth="1"/>
    <col min="6" max="6" width="10" customWidth="1"/>
    <col min="7" max="7" width="13.54296875" customWidth="1"/>
    <col min="8" max="8" width="10.81640625" customWidth="1"/>
    <col min="9" max="9" width="8.54296875" customWidth="1"/>
  </cols>
  <sheetData>
    <row r="1" spans="1:9" ht="17.25" customHeight="1" x14ac:dyDescent="0.35">
      <c r="A1" s="70" t="s">
        <v>429</v>
      </c>
      <c r="B1" s="70"/>
      <c r="C1" s="70"/>
      <c r="D1" s="70"/>
      <c r="E1" s="70"/>
      <c r="F1" s="70"/>
      <c r="G1" s="70"/>
      <c r="H1" s="70"/>
    </row>
    <row r="2" spans="1:9" ht="15" customHeight="1" x14ac:dyDescent="0.35">
      <c r="A2" s="61" t="s">
        <v>322</v>
      </c>
      <c r="B2" s="61"/>
      <c r="C2" s="61"/>
      <c r="D2" s="61"/>
      <c r="E2" s="61"/>
      <c r="F2" s="61"/>
      <c r="G2" s="61"/>
      <c r="H2" s="61"/>
    </row>
    <row r="3" spans="1:9" ht="15" customHeight="1" x14ac:dyDescent="0.35">
      <c r="A3" s="11" t="s">
        <v>413</v>
      </c>
      <c r="B3" s="71"/>
      <c r="C3" s="71"/>
    </row>
    <row r="5" spans="1:9" ht="15" customHeight="1" x14ac:dyDescent="0.35">
      <c r="A5" s="72" t="s">
        <v>430</v>
      </c>
      <c r="B5" s="72"/>
      <c r="C5" s="72"/>
      <c r="D5" s="72"/>
      <c r="F5" s="73" t="s">
        <v>431</v>
      </c>
      <c r="G5" s="73"/>
      <c r="H5" s="73"/>
      <c r="I5" s="73"/>
    </row>
    <row r="6" spans="1:9" ht="15" customHeight="1" x14ac:dyDescent="0.35">
      <c r="A6" s="1" t="s">
        <v>356</v>
      </c>
      <c r="B6" s="1" t="s">
        <v>416</v>
      </c>
      <c r="C6" s="1" t="s">
        <v>417</v>
      </c>
      <c r="D6" s="1"/>
      <c r="F6" s="1" t="s">
        <v>356</v>
      </c>
      <c r="G6" s="1" t="s">
        <v>416</v>
      </c>
      <c r="H6" s="1" t="s">
        <v>417</v>
      </c>
      <c r="I6" s="1"/>
    </row>
    <row r="7" spans="1:9" ht="15" customHeight="1" x14ac:dyDescent="0.35">
      <c r="A7" s="3" t="s">
        <v>27</v>
      </c>
      <c r="B7" s="12">
        <f>CALC!$J$6</f>
        <v>0.29833886231312962</v>
      </c>
      <c r="C7" s="6">
        <f>RANK(B7,$B$7:$B$10,0)</f>
        <v>1</v>
      </c>
      <c r="F7" s="3" t="s">
        <v>75</v>
      </c>
      <c r="G7" s="12">
        <f>CALC!$J$16</f>
        <v>0.23881651412015792</v>
      </c>
      <c r="H7" s="6">
        <f>RANK(G7,$G$7:$G$10,0)</f>
        <v>1</v>
      </c>
    </row>
    <row r="8" spans="1:9" ht="15" customHeight="1" x14ac:dyDescent="0.35">
      <c r="A8" s="3" t="s">
        <v>28</v>
      </c>
      <c r="B8" s="12">
        <f>CALC!$J$7</f>
        <v>0.22298972255304128</v>
      </c>
      <c r="C8" s="6">
        <f>RANK(B8,$B$7:$B$10,0)</f>
        <v>2</v>
      </c>
      <c r="F8" s="3" t="s">
        <v>76</v>
      </c>
      <c r="G8" s="12">
        <f>CALC!$J$17</f>
        <v>0.19859442303332575</v>
      </c>
      <c r="H8" s="6">
        <f>RANK(G8,$G$7:$G$10,0)</f>
        <v>2</v>
      </c>
    </row>
    <row r="9" spans="1:9" ht="15" customHeight="1" x14ac:dyDescent="0.35">
      <c r="A9" s="3" t="s">
        <v>45</v>
      </c>
      <c r="B9" s="12">
        <f>CALC!$J$8</f>
        <v>0.14304351877737398</v>
      </c>
      <c r="C9" s="6">
        <f>RANK(B9,$B$7:$B$10,0)</f>
        <v>4</v>
      </c>
      <c r="F9" s="3" t="s">
        <v>83</v>
      </c>
      <c r="G9" s="12">
        <f>CALC!$J$18</f>
        <v>7.6033965642062606E-2</v>
      </c>
      <c r="H9" s="6">
        <f>RANK(G9,$G$7:$G$10,0)</f>
        <v>3</v>
      </c>
    </row>
    <row r="10" spans="1:9" ht="15" customHeight="1" x14ac:dyDescent="0.35">
      <c r="A10" s="3" t="s">
        <v>360</v>
      </c>
      <c r="B10" s="12">
        <f>CALC!$J$9</f>
        <v>0.15177098495875788</v>
      </c>
      <c r="C10" s="6">
        <f>RANK(B10,$B$7:$B$10,0)</f>
        <v>3</v>
      </c>
      <c r="F10" s="3" t="s">
        <v>84</v>
      </c>
      <c r="G10" s="12">
        <f>CALC!$J$19</f>
        <v>1.3367841015955919E-2</v>
      </c>
      <c r="H10" s="6">
        <f>RANK(G10,$G$7:$G$10,0)</f>
        <v>4</v>
      </c>
    </row>
    <row r="13" spans="1:9" ht="15" customHeight="1" x14ac:dyDescent="0.35">
      <c r="A13" s="68" t="s">
        <v>418</v>
      </c>
      <c r="B13" s="68"/>
      <c r="C13" s="68"/>
      <c r="D13" s="68"/>
      <c r="E13" s="68"/>
      <c r="F13" s="68"/>
      <c r="G13" s="68"/>
      <c r="H13" s="68"/>
    </row>
    <row r="14" spans="1:9" ht="15" customHeight="1" x14ac:dyDescent="0.35">
      <c r="A14" s="1" t="s">
        <v>335</v>
      </c>
      <c r="B14" s="1" t="s">
        <v>5</v>
      </c>
      <c r="C14" s="1" t="s">
        <v>336</v>
      </c>
      <c r="D14" s="1" t="s">
        <v>6</v>
      </c>
      <c r="E14" s="1" t="s">
        <v>336</v>
      </c>
      <c r="F14" s="1" t="s">
        <v>337</v>
      </c>
      <c r="G14" s="1" t="s">
        <v>417</v>
      </c>
      <c r="H14" s="1"/>
    </row>
    <row r="15" spans="1:9" ht="15" customHeight="1" x14ac:dyDescent="0.35">
      <c r="A15" s="6">
        <v>1</v>
      </c>
      <c r="B15" s="3" t="str">
        <f>$A$7</f>
        <v>United States</v>
      </c>
      <c r="C15" s="12">
        <f>$B$7</f>
        <v>0.29833886231312962</v>
      </c>
      <c r="D15" s="3" t="str">
        <f>$F$7</f>
        <v>Belgium</v>
      </c>
      <c r="E15" s="12">
        <f>$G$7</f>
        <v>0.23881651412015792</v>
      </c>
      <c r="F15" s="13">
        <f t="shared" ref="F15:F30" si="0">C15*E15</f>
        <v>7.1248247124195363E-2</v>
      </c>
      <c r="G15" s="6">
        <f t="shared" ref="G15:G30" si="1">RANK(F15,$F$15:$F$30,0)</f>
        <v>1</v>
      </c>
    </row>
    <row r="16" spans="1:9" ht="15" customHeight="1" x14ac:dyDescent="0.35">
      <c r="A16" s="6">
        <v>2</v>
      </c>
      <c r="B16" s="3" t="str">
        <f>$A$7</f>
        <v>United States</v>
      </c>
      <c r="C16" s="12">
        <f>$B$7</f>
        <v>0.29833886231312962</v>
      </c>
      <c r="D16" s="3" t="str">
        <f>$F$8</f>
        <v>Egypt</v>
      </c>
      <c r="E16" s="12">
        <f>$G$8</f>
        <v>0.19859442303332575</v>
      </c>
      <c r="F16" s="13">
        <f t="shared" si="0"/>
        <v>5.9248434229494787E-2</v>
      </c>
      <c r="G16" s="6">
        <f t="shared" si="1"/>
        <v>2</v>
      </c>
    </row>
    <row r="17" spans="1:7" ht="15" customHeight="1" x14ac:dyDescent="0.35">
      <c r="A17" s="6">
        <v>3</v>
      </c>
      <c r="B17" s="3" t="str">
        <f>$A$7</f>
        <v>United States</v>
      </c>
      <c r="C17" s="12">
        <f>$B$7</f>
        <v>0.29833886231312962</v>
      </c>
      <c r="D17" s="3" t="str">
        <f>$F$9</f>
        <v>Iran</v>
      </c>
      <c r="E17" s="12">
        <f>$G$9</f>
        <v>7.6033965642062606E-2</v>
      </c>
      <c r="F17" s="13">
        <f t="shared" si="0"/>
        <v>2.2683886806808544E-2</v>
      </c>
      <c r="G17" s="6">
        <f t="shared" si="1"/>
        <v>9</v>
      </c>
    </row>
    <row r="18" spans="1:7" ht="15" customHeight="1" x14ac:dyDescent="0.35">
      <c r="A18" s="6">
        <v>4</v>
      </c>
      <c r="B18" s="3" t="str">
        <f>$A$7</f>
        <v>United States</v>
      </c>
      <c r="C18" s="12">
        <f>$B$7</f>
        <v>0.29833886231312962</v>
      </c>
      <c r="D18" s="3" t="str">
        <f>$F$10</f>
        <v>New Zealand</v>
      </c>
      <c r="E18" s="12">
        <f>$G$10</f>
        <v>1.3367841015955919E-2</v>
      </c>
      <c r="F18" s="13">
        <f t="shared" si="0"/>
        <v>3.9881464802830795E-3</v>
      </c>
      <c r="G18" s="6">
        <f t="shared" si="1"/>
        <v>13</v>
      </c>
    </row>
    <row r="19" spans="1:7" ht="15" customHeight="1" x14ac:dyDescent="0.35">
      <c r="A19" s="6">
        <v>5</v>
      </c>
      <c r="B19" s="3" t="str">
        <f>$A$8</f>
        <v>Paraguay</v>
      </c>
      <c r="C19" s="12">
        <f>$B$8</f>
        <v>0.22298972255304128</v>
      </c>
      <c r="D19" s="3" t="str">
        <f>$F$7</f>
        <v>Belgium</v>
      </c>
      <c r="E19" s="12">
        <f>$G$7</f>
        <v>0.23881651412015792</v>
      </c>
      <c r="F19" s="13">
        <f t="shared" si="0"/>
        <v>5.3253628224738482E-2</v>
      </c>
      <c r="G19" s="6">
        <f t="shared" si="1"/>
        <v>3</v>
      </c>
    </row>
    <row r="20" spans="1:7" ht="15" customHeight="1" x14ac:dyDescent="0.35">
      <c r="A20" s="6">
        <v>6</v>
      </c>
      <c r="B20" s="3" t="str">
        <f>$A$8</f>
        <v>Paraguay</v>
      </c>
      <c r="C20" s="12">
        <f>$B$8</f>
        <v>0.22298972255304128</v>
      </c>
      <c r="D20" s="3" t="str">
        <f>$F$8</f>
        <v>Egypt</v>
      </c>
      <c r="E20" s="12">
        <f>$G$8</f>
        <v>0.19859442303332575</v>
      </c>
      <c r="F20" s="13">
        <f t="shared" si="0"/>
        <v>4.4284515292782621E-2</v>
      </c>
      <c r="G20" s="6">
        <f t="shared" si="1"/>
        <v>4</v>
      </c>
    </row>
    <row r="21" spans="1:7" ht="15" customHeight="1" x14ac:dyDescent="0.35">
      <c r="A21" s="6">
        <v>7</v>
      </c>
      <c r="B21" s="3" t="str">
        <f>$A$8</f>
        <v>Paraguay</v>
      </c>
      <c r="C21" s="12">
        <f>$B$8</f>
        <v>0.22298972255304128</v>
      </c>
      <c r="D21" s="3" t="str">
        <f>$F$9</f>
        <v>Iran</v>
      </c>
      <c r="E21" s="12">
        <f>$G$9</f>
        <v>7.6033965642062606E-2</v>
      </c>
      <c r="F21" s="13">
        <f t="shared" si="0"/>
        <v>1.6954792903131014E-2</v>
      </c>
      <c r="G21" s="6">
        <f t="shared" si="1"/>
        <v>10</v>
      </c>
    </row>
    <row r="22" spans="1:7" ht="15" customHeight="1" x14ac:dyDescent="0.35">
      <c r="A22" s="6">
        <v>8</v>
      </c>
      <c r="B22" s="3" t="str">
        <f>$A$8</f>
        <v>Paraguay</v>
      </c>
      <c r="C22" s="12">
        <f>$B$8</f>
        <v>0.22298972255304128</v>
      </c>
      <c r="D22" s="3" t="str">
        <f>$F$10</f>
        <v>New Zealand</v>
      </c>
      <c r="E22" s="12">
        <f>$G$10</f>
        <v>1.3367841015955919E-2</v>
      </c>
      <c r="F22" s="13">
        <f t="shared" si="0"/>
        <v>2.9808911592811758E-3</v>
      </c>
      <c r="G22" s="6">
        <f t="shared" si="1"/>
        <v>14</v>
      </c>
    </row>
    <row r="23" spans="1:7" ht="15" customHeight="1" x14ac:dyDescent="0.35">
      <c r="A23" s="6">
        <v>9</v>
      </c>
      <c r="B23" s="3" t="str">
        <f>$A$9</f>
        <v>Australia</v>
      </c>
      <c r="C23" s="12">
        <f>$B$9</f>
        <v>0.14304351877737398</v>
      </c>
      <c r="D23" s="3" t="str">
        <f>$F$7</f>
        <v>Belgium</v>
      </c>
      <c r="E23" s="12">
        <f>$G$7</f>
        <v>0.23881651412015792</v>
      </c>
      <c r="F23" s="13">
        <f t="shared" si="0"/>
        <v>3.4161154521893805E-2</v>
      </c>
      <c r="G23" s="6">
        <f t="shared" si="1"/>
        <v>6</v>
      </c>
    </row>
    <row r="24" spans="1:7" ht="15" customHeight="1" x14ac:dyDescent="0.35">
      <c r="A24" s="6">
        <v>10</v>
      </c>
      <c r="B24" s="3" t="str">
        <f>$A$9</f>
        <v>Australia</v>
      </c>
      <c r="C24" s="12">
        <f>$B$9</f>
        <v>0.14304351877737398</v>
      </c>
      <c r="D24" s="3" t="str">
        <f>$F$8</f>
        <v>Egypt</v>
      </c>
      <c r="E24" s="12">
        <f>$G$8</f>
        <v>0.19859442303332575</v>
      </c>
      <c r="F24" s="13">
        <f t="shared" si="0"/>
        <v>2.8407645080249285E-2</v>
      </c>
      <c r="G24" s="6">
        <f t="shared" si="1"/>
        <v>8</v>
      </c>
    </row>
    <row r="25" spans="1:7" ht="15" customHeight="1" x14ac:dyDescent="0.35">
      <c r="A25" s="6">
        <v>11</v>
      </c>
      <c r="B25" s="3" t="str">
        <f>$A$9</f>
        <v>Australia</v>
      </c>
      <c r="C25" s="12">
        <f>$B$9</f>
        <v>0.14304351877737398</v>
      </c>
      <c r="D25" s="3" t="str">
        <f>$F$9</f>
        <v>Iran</v>
      </c>
      <c r="E25" s="12">
        <f>$G$9</f>
        <v>7.6033965642062606E-2</v>
      </c>
      <c r="F25" s="13">
        <f t="shared" si="0"/>
        <v>1.087616599203859E-2</v>
      </c>
      <c r="G25" s="6">
        <f t="shared" si="1"/>
        <v>12</v>
      </c>
    </row>
    <row r="26" spans="1:7" ht="15" customHeight="1" x14ac:dyDescent="0.35">
      <c r="A26" s="6">
        <v>12</v>
      </c>
      <c r="B26" s="3" t="str">
        <f>$A$9</f>
        <v>Australia</v>
      </c>
      <c r="C26" s="12">
        <f>$B$9</f>
        <v>0.14304351877737398</v>
      </c>
      <c r="D26" s="3" t="str">
        <f>$F$10</f>
        <v>New Zealand</v>
      </c>
      <c r="E26" s="12">
        <f>$G$10</f>
        <v>1.3367841015955919E-2</v>
      </c>
      <c r="F26" s="13">
        <f t="shared" si="0"/>
        <v>1.9121830173788406E-3</v>
      </c>
      <c r="G26" s="6">
        <f t="shared" si="1"/>
        <v>16</v>
      </c>
    </row>
    <row r="27" spans="1:7" ht="15" customHeight="1" x14ac:dyDescent="0.35">
      <c r="A27" s="6">
        <v>13</v>
      </c>
      <c r="B27" s="3" t="str">
        <f>$A$10</f>
        <v>TBD_C</v>
      </c>
      <c r="C27" s="12">
        <f>$B$10</f>
        <v>0.15177098495875788</v>
      </c>
      <c r="D27" s="3" t="str">
        <f>$F$7</f>
        <v>Belgium</v>
      </c>
      <c r="E27" s="12">
        <f>$G$7</f>
        <v>0.23881651412015792</v>
      </c>
      <c r="F27" s="13">
        <f t="shared" si="0"/>
        <v>3.6245417572433478E-2</v>
      </c>
      <c r="G27" s="6">
        <f t="shared" si="1"/>
        <v>5</v>
      </c>
    </row>
    <row r="28" spans="1:7" ht="15" customHeight="1" x14ac:dyDescent="0.35">
      <c r="A28" s="6">
        <v>14</v>
      </c>
      <c r="B28" s="3" t="str">
        <f>$A$10</f>
        <v>TBD_C</v>
      </c>
      <c r="C28" s="12">
        <f>$B$10</f>
        <v>0.15177098495875788</v>
      </c>
      <c r="D28" s="3" t="str">
        <f>$F$8</f>
        <v>Egypt</v>
      </c>
      <c r="E28" s="12">
        <f>$G$8</f>
        <v>0.19859442303332575</v>
      </c>
      <c r="F28" s="13">
        <f t="shared" si="0"/>
        <v>3.0140871191084082E-2</v>
      </c>
      <c r="G28" s="6">
        <f t="shared" si="1"/>
        <v>7</v>
      </c>
    </row>
    <row r="29" spans="1:7" ht="15" customHeight="1" x14ac:dyDescent="0.35">
      <c r="A29" s="6">
        <v>15</v>
      </c>
      <c r="B29" s="3" t="str">
        <f>$A$10</f>
        <v>TBD_C</v>
      </c>
      <c r="C29" s="12">
        <f>$B$10</f>
        <v>0.15177098495875788</v>
      </c>
      <c r="D29" s="3" t="str">
        <f>$F$9</f>
        <v>Iran</v>
      </c>
      <c r="E29" s="12">
        <f>$G$9</f>
        <v>7.6033965642062606E-2</v>
      </c>
      <c r="F29" s="13">
        <f t="shared" si="0"/>
        <v>1.1539749855816198E-2</v>
      </c>
      <c r="G29" s="6">
        <f t="shared" si="1"/>
        <v>11</v>
      </c>
    </row>
    <row r="30" spans="1:7" ht="15" customHeight="1" x14ac:dyDescent="0.35">
      <c r="A30" s="6">
        <v>16</v>
      </c>
      <c r="B30" s="3" t="str">
        <f>$A$10</f>
        <v>TBD_C</v>
      </c>
      <c r="C30" s="12">
        <f>$B$10</f>
        <v>0.15177098495875788</v>
      </c>
      <c r="D30" s="3" t="str">
        <f>$F$10</f>
        <v>New Zealand</v>
      </c>
      <c r="E30" s="12">
        <f>$G$10</f>
        <v>1.3367841015955919E-2</v>
      </c>
      <c r="F30" s="13">
        <f t="shared" si="0"/>
        <v>2.0288503977637126E-3</v>
      </c>
      <c r="G30" s="6">
        <f t="shared" si="1"/>
        <v>15</v>
      </c>
    </row>
    <row r="33" spans="1:6" ht="15" customHeight="1" x14ac:dyDescent="0.35">
      <c r="A33" s="69" t="s">
        <v>419</v>
      </c>
      <c r="B33" s="69"/>
      <c r="C33" s="69"/>
      <c r="D33" s="69"/>
      <c r="E33" s="69"/>
      <c r="F33" s="69"/>
    </row>
    <row r="34" spans="1:6" ht="15" customHeight="1" x14ac:dyDescent="0.35">
      <c r="A34" s="1" t="s">
        <v>335</v>
      </c>
      <c r="B34" s="1" t="s">
        <v>5</v>
      </c>
      <c r="C34" s="1" t="s">
        <v>336</v>
      </c>
      <c r="D34" s="1" t="s">
        <v>6</v>
      </c>
      <c r="E34" s="1" t="s">
        <v>336</v>
      </c>
      <c r="F34" s="1" t="s">
        <v>337</v>
      </c>
    </row>
    <row r="35" spans="1:6" ht="15" customHeight="1" x14ac:dyDescent="0.35">
      <c r="A35" s="7">
        <v>1</v>
      </c>
      <c r="B35" s="14" t="str">
        <f>IFERROR(INDEX($B$15:$B$30,MATCH(LARGE($F$15:$F$30,1),$F$15:$F$30,0)),"-")</f>
        <v>United States</v>
      </c>
      <c r="C35" s="15">
        <f>IFERROR(INDEX($C$15:$C$30,MATCH(LARGE($F$15:$F$30,1),$F$15:$F$30,0)),0)</f>
        <v>0.29833886231312962</v>
      </c>
      <c r="D35" s="14" t="str">
        <f>IFERROR(INDEX($D$15:$D$30,MATCH(LARGE($F$15:$F$30,1),$F$15:$F$30,0)),"-")</f>
        <v>Belgium</v>
      </c>
      <c r="E35" s="15">
        <f>IFERROR(INDEX($E$15:$E$30,MATCH(LARGE($F$15:$F$30,1),$F$15:$F$30,0)),0)</f>
        <v>0.23881651412015792</v>
      </c>
      <c r="F35" s="16">
        <f>LARGE($F$15:$F$30,1)</f>
        <v>7.1248247124195363E-2</v>
      </c>
    </row>
    <row r="36" spans="1:6" ht="15" customHeight="1" x14ac:dyDescent="0.35">
      <c r="A36" s="6">
        <v>2</v>
      </c>
      <c r="B36" s="3" t="str">
        <f>IFERROR(INDEX($B$15:$B$30,MATCH(LARGE($F$15:$F$30,2),$F$15:$F$30,0)),"-")</f>
        <v>United States</v>
      </c>
      <c r="C36" s="12">
        <f>IFERROR(INDEX($C$15:$C$30,MATCH(LARGE($F$15:$F$30,2),$F$15:$F$30,0)),0)</f>
        <v>0.29833886231312962</v>
      </c>
      <c r="D36" s="3" t="str">
        <f>IFERROR(INDEX($D$15:$D$30,MATCH(LARGE($F$15:$F$30,2),$F$15:$F$30,0)),"-")</f>
        <v>Egypt</v>
      </c>
      <c r="E36" s="12">
        <f>IFERROR(INDEX($E$15:$E$30,MATCH(LARGE($F$15:$F$30,2),$F$15:$F$30,0)),0)</f>
        <v>0.19859442303332575</v>
      </c>
      <c r="F36" s="13">
        <f>LARGE($F$15:$F$30,2)</f>
        <v>5.9248434229494787E-2</v>
      </c>
    </row>
    <row r="37" spans="1:6" ht="15" customHeight="1" x14ac:dyDescent="0.35">
      <c r="A37" s="6">
        <v>3</v>
      </c>
      <c r="B37" s="3" t="str">
        <f>IFERROR(INDEX($B$15:$B$30,MATCH(LARGE($F$15:$F$30,3),$F$15:$F$30,0)),"-")</f>
        <v>Paraguay</v>
      </c>
      <c r="C37" s="12">
        <f>IFERROR(INDEX($C$15:$C$30,MATCH(LARGE($F$15:$F$30,3),$F$15:$F$30,0)),0)</f>
        <v>0.22298972255304128</v>
      </c>
      <c r="D37" s="3" t="str">
        <f>IFERROR(INDEX($D$15:$D$30,MATCH(LARGE($F$15:$F$30,3),$F$15:$F$30,0)),"-")</f>
        <v>Belgium</v>
      </c>
      <c r="E37" s="12">
        <f>IFERROR(INDEX($E$15:$E$30,MATCH(LARGE($F$15:$F$30,3),$F$15:$F$30,0)),0)</f>
        <v>0.23881651412015792</v>
      </c>
      <c r="F37" s="13">
        <f>LARGE($F$15:$F$30,3)</f>
        <v>5.3253628224738482E-2</v>
      </c>
    </row>
  </sheetData>
  <mergeCells count="7">
    <mergeCell ref="A13:H13"/>
    <mergeCell ref="A33:F33"/>
    <mergeCell ref="A1:H1"/>
    <mergeCell ref="A2:H2"/>
    <mergeCell ref="B3:C3"/>
    <mergeCell ref="A5:D5"/>
    <mergeCell ref="F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91"/>
  <sheetViews>
    <sheetView showGridLines="0" tabSelected="1" topLeftCell="A63" zoomScaleNormal="100" workbookViewId="0">
      <selection activeCell="B97" sqref="B97"/>
    </sheetView>
  </sheetViews>
  <sheetFormatPr defaultColWidth="8.54296875" defaultRowHeight="14.5" x14ac:dyDescent="0.35"/>
  <cols>
    <col min="1" max="1" width="13.453125" customWidth="1"/>
    <col min="2" max="2" width="14" customWidth="1"/>
    <col min="3" max="3" width="11.1796875" customWidth="1"/>
    <col min="4" max="4" width="14" customWidth="1"/>
    <col min="5" max="5" width="8" customWidth="1"/>
    <col min="6" max="6" width="17.26953125" customWidth="1"/>
    <col min="7" max="7" width="10.453125" customWidth="1"/>
    <col min="8" max="8" width="11.81640625" customWidth="1"/>
    <col min="9" max="9" width="14.453125" customWidth="1"/>
  </cols>
  <sheetData>
    <row r="1" spans="1:9" ht="17.25" customHeight="1" x14ac:dyDescent="0.35">
      <c r="A1" s="70" t="s">
        <v>432</v>
      </c>
      <c r="B1" s="70"/>
      <c r="C1" s="70"/>
      <c r="D1" s="70"/>
      <c r="E1" s="70"/>
      <c r="F1" s="70"/>
      <c r="G1" s="70"/>
      <c r="H1" s="70"/>
      <c r="I1" s="70"/>
    </row>
    <row r="2" spans="1:9" ht="15" customHeight="1" x14ac:dyDescent="0.35">
      <c r="A2" s="76" t="s">
        <v>433</v>
      </c>
      <c r="B2" s="76"/>
      <c r="C2" s="76"/>
      <c r="D2" s="76"/>
      <c r="E2" s="76"/>
      <c r="F2" s="76"/>
      <c r="G2" s="76"/>
      <c r="H2" s="76"/>
      <c r="I2" s="76"/>
    </row>
    <row r="3" spans="1:9" ht="15" customHeight="1" x14ac:dyDescent="0.35">
      <c r="A3" s="11" t="s">
        <v>413</v>
      </c>
      <c r="B3" s="71"/>
      <c r="C3" s="71"/>
    </row>
    <row r="5" spans="1:9" ht="15" customHeight="1" x14ac:dyDescent="0.35">
      <c r="A5" s="72" t="s">
        <v>434</v>
      </c>
      <c r="B5" s="72"/>
      <c r="C5" s="72"/>
      <c r="D5" s="72"/>
      <c r="F5" s="73" t="s">
        <v>435</v>
      </c>
      <c r="G5" s="73"/>
      <c r="H5" s="73"/>
      <c r="I5" s="73"/>
    </row>
    <row r="6" spans="1:9" ht="15" customHeight="1" x14ac:dyDescent="0.35">
      <c r="A6" s="1" t="s">
        <v>356</v>
      </c>
      <c r="B6" s="1" t="s">
        <v>402</v>
      </c>
      <c r="C6" s="1" t="s">
        <v>416</v>
      </c>
      <c r="D6" s="1" t="s">
        <v>436</v>
      </c>
      <c r="F6" s="1" t="s">
        <v>356</v>
      </c>
      <c r="G6" s="1" t="s">
        <v>402</v>
      </c>
      <c r="H6" s="1" t="s">
        <v>437</v>
      </c>
      <c r="I6" s="1" t="s">
        <v>438</v>
      </c>
    </row>
    <row r="7" spans="1:9" ht="15" customHeight="1" x14ac:dyDescent="0.35">
      <c r="A7" s="3" t="s">
        <v>105</v>
      </c>
      <c r="B7" s="6" t="s">
        <v>367</v>
      </c>
      <c r="C7" s="12">
        <f>CALC!$J$36</f>
        <v>0.22530288574888424</v>
      </c>
      <c r="D7" s="8">
        <f>IF('M83'!$B$3&lt;&gt;0,IF('M83'!$B$3=A7,1,0),C7*ODDS!$C$92/100)</f>
        <v>0.12391658716188633</v>
      </c>
      <c r="F7" s="3" t="s">
        <v>70</v>
      </c>
      <c r="G7" s="6" t="s">
        <v>363</v>
      </c>
      <c r="H7" s="12">
        <f>CALC!$I$21</f>
        <v>0.77450980392156865</v>
      </c>
      <c r="I7" s="8">
        <f>IF('M84'!$B$3&lt;&gt;"",IF('M84'!$B$3=F7,1,0),H7*ODDS!$C$93/100)</f>
        <v>0.34852941176470587</v>
      </c>
    </row>
    <row r="8" spans="1:9" ht="15" customHeight="1" x14ac:dyDescent="0.35">
      <c r="A8" s="3" t="s">
        <v>116</v>
      </c>
      <c r="B8" s="6" t="s">
        <v>367</v>
      </c>
      <c r="C8" s="12">
        <f>CALC!$J$37</f>
        <v>0.36151025727742897</v>
      </c>
      <c r="D8" s="8">
        <f>IF('M83'!$B$3&lt;&gt;0,IF('M83'!$B$3=A8,1,0),C8*ODDS!$C$92/100)</f>
        <v>0.19883064150258595</v>
      </c>
      <c r="F8" s="3" t="s">
        <v>80</v>
      </c>
      <c r="G8" s="6" t="s">
        <v>363</v>
      </c>
      <c r="H8" s="12">
        <f>CALC!$I$22</f>
        <v>0.14705882352941177</v>
      </c>
      <c r="I8" s="8">
        <f>IF('M84'!$B$3&lt;&gt;"",IF('M84'!$B$3=F8,1,0),H8*ODDS!$C$93/100)</f>
        <v>6.6176470588235295E-2</v>
      </c>
    </row>
    <row r="9" spans="1:9" ht="15" customHeight="1" x14ac:dyDescent="0.35">
      <c r="A9" s="3" t="s">
        <v>115</v>
      </c>
      <c r="B9" s="6" t="s">
        <v>367</v>
      </c>
      <c r="C9" s="12">
        <f>CALC!$J$38</f>
        <v>2.2037398474698891E-2</v>
      </c>
      <c r="D9" s="8">
        <f>IF('M83'!$B$3&lt;&gt;0,IF('M83'!$B$3=A9,1,0),C9*ODDS!$C$92/100)</f>
        <v>1.2120569161084388E-2</v>
      </c>
      <c r="F9" s="3" t="s">
        <v>79</v>
      </c>
      <c r="G9" s="6" t="s">
        <v>363</v>
      </c>
      <c r="H9" s="12">
        <f>CALC!$I$23</f>
        <v>3.9215686274509803E-2</v>
      </c>
      <c r="I9" s="8">
        <f>IF('M84'!$B$3&lt;&gt;"",IF('M84'!$B$3=F9,1,0),H9*ODDS!$C$93/100)</f>
        <v>1.7647058823529412E-2</v>
      </c>
    </row>
    <row r="10" spans="1:9" ht="15" customHeight="1" x14ac:dyDescent="0.35">
      <c r="A10" s="3" t="s">
        <v>368</v>
      </c>
      <c r="B10" s="6" t="s">
        <v>367</v>
      </c>
      <c r="C10" s="12">
        <f>CALC!$J$39</f>
        <v>3.7969412168175915E-3</v>
      </c>
      <c r="D10" s="8">
        <f>IF('M83'!$B$3&lt;&gt;0,IF('M83'!$B$3=A10,1,0),C10*ODDS!$C$92/100)</f>
        <v>2.0883176692496753E-3</v>
      </c>
      <c r="F10" s="3" t="s">
        <v>71</v>
      </c>
      <c r="G10" s="6" t="s">
        <v>363</v>
      </c>
      <c r="H10" s="12">
        <f>CALC!$I$24</f>
        <v>3.9215686274509803E-2</v>
      </c>
      <c r="I10" s="8">
        <f>IF('M84'!$B$3&lt;&gt;"",IF('M84'!$B$3=F10,1,0),H10*ODDS!$C$93/100)</f>
        <v>1.7647058823529412E-2</v>
      </c>
    </row>
    <row r="11" spans="1:9" ht="15" customHeight="1" x14ac:dyDescent="0.35">
      <c r="A11" s="3" t="s">
        <v>109</v>
      </c>
      <c r="B11" s="6" t="s">
        <v>369</v>
      </c>
      <c r="C11" s="12">
        <f>CALC!$J$41</f>
        <v>0.23809780557502552</v>
      </c>
      <c r="D11" s="8">
        <f>IF('M83'!$B$3&lt;&gt;0,IF('M83'!$B$3=A11,1,0),C11*ODDS!$C$92/100)</f>
        <v>0.13095379306626403</v>
      </c>
      <c r="F11" s="3" t="s">
        <v>96</v>
      </c>
      <c r="G11" s="6" t="s">
        <v>366</v>
      </c>
      <c r="H11" s="12">
        <f>CALC!$J$31</f>
        <v>0.2560072896865449</v>
      </c>
      <c r="I11" s="8">
        <f>IF('M84'!$B$3&lt;&gt;"",IF('M84'!$B$3=F11,1,0),H11*ODDS!$E$93/100)</f>
        <v>0.14080400932759971</v>
      </c>
    </row>
    <row r="12" spans="1:9" ht="15" customHeight="1" x14ac:dyDescent="0.35">
      <c r="A12" s="3" t="s">
        <v>110</v>
      </c>
      <c r="B12" s="6" t="s">
        <v>369</v>
      </c>
      <c r="C12" s="12">
        <f>CALC!$J$42</f>
        <v>0.25622663781231553</v>
      </c>
      <c r="D12" s="8">
        <f>IF('M83'!$B$3&lt;&gt;0,IF('M83'!$B$3=A12,1,0),C12*ODDS!$C$92/100)</f>
        <v>0.14092465079677352</v>
      </c>
      <c r="F12" s="3" t="s">
        <v>100</v>
      </c>
      <c r="G12" s="6" t="s">
        <v>366</v>
      </c>
      <c r="H12" s="12">
        <f>CALC!$J$32</f>
        <v>0.2700058172335344</v>
      </c>
      <c r="I12" s="8">
        <f>IF('M84'!$B$3&lt;&gt;"",IF('M84'!$B$3=F12,1,0),H12*ODDS!$E$93/100)</f>
        <v>0.14850319947844393</v>
      </c>
    </row>
    <row r="13" spans="1:9" ht="15" customHeight="1" x14ac:dyDescent="0.35">
      <c r="A13" s="3" t="s">
        <v>112</v>
      </c>
      <c r="B13" s="6" t="s">
        <v>369</v>
      </c>
      <c r="C13" s="12">
        <f>CALC!$J$43</f>
        <v>5.9568131049888298E-2</v>
      </c>
      <c r="D13" s="8">
        <f>IF('M83'!$B$3&lt;&gt;0,IF('M83'!$B$3=A13,1,0),C13*ODDS!$C$92/100)</f>
        <v>3.2762472077438563E-2</v>
      </c>
      <c r="F13" s="3" t="s">
        <v>101</v>
      </c>
      <c r="G13" s="6" t="s">
        <v>366</v>
      </c>
      <c r="H13" s="12">
        <f>CALC!$J$33</f>
        <v>4.8558415275207691E-2</v>
      </c>
      <c r="I13" s="8">
        <f>IF('M84'!$B$3&lt;&gt;"",IF('M84'!$B$3=F13,1,0),H13*ODDS!$E$93/100)</f>
        <v>2.670712840136423E-2</v>
      </c>
    </row>
    <row r="14" spans="1:9" ht="15" customHeight="1" x14ac:dyDescent="0.35">
      <c r="A14" s="3" t="s">
        <v>113</v>
      </c>
      <c r="B14" s="6" t="s">
        <v>369</v>
      </c>
      <c r="C14" s="12">
        <f>CALC!$J$44</f>
        <v>3.8288981929265257E-3</v>
      </c>
      <c r="D14" s="8">
        <f>IF('M83'!$B$3&lt;&gt;0,IF('M83'!$B$3=A14,1,0),C14*ODDS!$C$92/100)</f>
        <v>2.105894006109589E-3</v>
      </c>
      <c r="F14" s="3" t="s">
        <v>97</v>
      </c>
      <c r="G14" s="6" t="s">
        <v>366</v>
      </c>
      <c r="H14" s="12">
        <f>CALC!$J$34</f>
        <v>0.18031344790839449</v>
      </c>
      <c r="I14" s="8">
        <f>IF('M84'!$B$3&lt;&gt;"",IF('M84'!$B$3=F14,1,0),H14*ODDS!$E$93/100)</f>
        <v>9.9172396349616956E-2</v>
      </c>
    </row>
    <row r="17" spans="1:8" ht="15" customHeight="1" x14ac:dyDescent="0.35">
      <c r="A17" s="68" t="s">
        <v>439</v>
      </c>
      <c r="B17" s="68"/>
      <c r="C17" s="68"/>
      <c r="D17" s="68"/>
      <c r="E17" s="68"/>
      <c r="F17" s="68"/>
      <c r="G17" s="68"/>
      <c r="H17" s="68"/>
    </row>
    <row r="18" spans="1:8" ht="15" customHeight="1" x14ac:dyDescent="0.35">
      <c r="A18" s="1" t="s">
        <v>335</v>
      </c>
      <c r="B18" s="1" t="s">
        <v>251</v>
      </c>
      <c r="C18" s="1" t="s">
        <v>336</v>
      </c>
      <c r="D18" s="1" t="s">
        <v>252</v>
      </c>
      <c r="E18" s="1" t="s">
        <v>336</v>
      </c>
      <c r="F18" s="1" t="s">
        <v>337</v>
      </c>
      <c r="G18" s="1" t="s">
        <v>417</v>
      </c>
      <c r="H18" s="1"/>
    </row>
    <row r="19" spans="1:8" ht="15" customHeight="1" x14ac:dyDescent="0.35">
      <c r="A19" s="10">
        <v>1</v>
      </c>
      <c r="B19" s="5" t="str">
        <f t="shared" ref="B19:B26" si="0">$A$7</f>
        <v>Portugal</v>
      </c>
      <c r="C19" s="17">
        <f t="shared" ref="C19:C26" si="1">$D$7</f>
        <v>0.12391658716188633</v>
      </c>
      <c r="D19" s="5" t="str">
        <f>$F$7</f>
        <v>Spain</v>
      </c>
      <c r="E19" s="17">
        <f>$I$7</f>
        <v>0.34852941176470587</v>
      </c>
      <c r="F19" s="18">
        <f t="shared" ref="F19:F50" si="2">C19*E19</f>
        <v>4.3188575231422145E-2</v>
      </c>
      <c r="G19" s="10">
        <f t="shared" ref="G19:G50" si="3">RANK(F19,$F$19:$F$82,0)</f>
        <v>4</v>
      </c>
    </row>
    <row r="20" spans="1:8" ht="15" customHeight="1" x14ac:dyDescent="0.35">
      <c r="A20" s="10">
        <v>2</v>
      </c>
      <c r="B20" s="5" t="str">
        <f t="shared" si="0"/>
        <v>Portugal</v>
      </c>
      <c r="C20" s="17">
        <f t="shared" si="1"/>
        <v>0.12391658716188633</v>
      </c>
      <c r="D20" s="5" t="str">
        <f>$F$8</f>
        <v>Uruguay</v>
      </c>
      <c r="E20" s="17">
        <f>$I$8</f>
        <v>6.6176470588235295E-2</v>
      </c>
      <c r="F20" s="18">
        <f t="shared" si="2"/>
        <v>8.2003623857130666E-3</v>
      </c>
      <c r="G20" s="10">
        <f t="shared" si="3"/>
        <v>21</v>
      </c>
    </row>
    <row r="21" spans="1:8" ht="15" customHeight="1" x14ac:dyDescent="0.35">
      <c r="A21" s="10">
        <v>3</v>
      </c>
      <c r="B21" s="5" t="str">
        <f t="shared" si="0"/>
        <v>Portugal</v>
      </c>
      <c r="C21" s="17">
        <f t="shared" si="1"/>
        <v>0.12391658716188633</v>
      </c>
      <c r="D21" s="5" t="str">
        <f>$F$9</f>
        <v>Saudi Arabia</v>
      </c>
      <c r="E21" s="17">
        <f>$I$9</f>
        <v>1.7647058823529412E-2</v>
      </c>
      <c r="F21" s="18">
        <f t="shared" si="2"/>
        <v>2.1867633028568177E-3</v>
      </c>
      <c r="G21" s="10">
        <f t="shared" si="3"/>
        <v>36</v>
      </c>
    </row>
    <row r="22" spans="1:8" ht="15" customHeight="1" x14ac:dyDescent="0.35">
      <c r="A22" s="10">
        <v>4</v>
      </c>
      <c r="B22" s="5" t="str">
        <f t="shared" si="0"/>
        <v>Portugal</v>
      </c>
      <c r="C22" s="17">
        <f t="shared" si="1"/>
        <v>0.12391658716188633</v>
      </c>
      <c r="D22" s="5" t="str">
        <f>$F$10</f>
        <v>Cape Verde</v>
      </c>
      <c r="E22" s="17">
        <f>$I$10</f>
        <v>1.7647058823529412E-2</v>
      </c>
      <c r="F22" s="18">
        <f t="shared" si="2"/>
        <v>2.1867633028568177E-3</v>
      </c>
      <c r="G22" s="10">
        <f t="shared" si="3"/>
        <v>36</v>
      </c>
    </row>
    <row r="23" spans="1:8" ht="15" customHeight="1" x14ac:dyDescent="0.35">
      <c r="A23" s="10">
        <v>5</v>
      </c>
      <c r="B23" s="5" t="str">
        <f t="shared" si="0"/>
        <v>Portugal</v>
      </c>
      <c r="C23" s="17">
        <f t="shared" si="1"/>
        <v>0.12391658716188633</v>
      </c>
      <c r="D23" s="5" t="str">
        <f>$F$11</f>
        <v>Argentina</v>
      </c>
      <c r="E23" s="17">
        <f>$I$11</f>
        <v>0.14080400932759971</v>
      </c>
      <c r="F23" s="18">
        <f t="shared" si="2"/>
        <v>1.7447952294586566E-2</v>
      </c>
      <c r="G23" s="10">
        <f t="shared" si="3"/>
        <v>13</v>
      </c>
    </row>
    <row r="24" spans="1:8" ht="15" customHeight="1" x14ac:dyDescent="0.35">
      <c r="A24" s="10">
        <v>6</v>
      </c>
      <c r="B24" s="5" t="str">
        <f t="shared" si="0"/>
        <v>Portugal</v>
      </c>
      <c r="C24" s="17">
        <f t="shared" si="1"/>
        <v>0.12391658716188633</v>
      </c>
      <c r="D24" s="5" t="str">
        <f>$F$12</f>
        <v>Austria</v>
      </c>
      <c r="E24" s="17">
        <f>$I$12</f>
        <v>0.14850319947844393</v>
      </c>
      <c r="F24" s="18">
        <f t="shared" si="2"/>
        <v>1.8402009661989589E-2</v>
      </c>
      <c r="G24" s="10">
        <f t="shared" si="3"/>
        <v>12</v>
      </c>
    </row>
    <row r="25" spans="1:8" ht="15" customHeight="1" x14ac:dyDescent="0.35">
      <c r="A25" s="10">
        <v>7</v>
      </c>
      <c r="B25" s="5" t="str">
        <f t="shared" si="0"/>
        <v>Portugal</v>
      </c>
      <c r="C25" s="17">
        <f t="shared" si="1"/>
        <v>0.12391658716188633</v>
      </c>
      <c r="D25" s="5" t="str">
        <f>$F$13</f>
        <v>Jordan</v>
      </c>
      <c r="E25" s="17">
        <f>$I$13</f>
        <v>2.670712840136423E-2</v>
      </c>
      <c r="F25" s="18">
        <f t="shared" si="2"/>
        <v>3.3094562043913408E-3</v>
      </c>
      <c r="G25" s="10">
        <f t="shared" si="3"/>
        <v>30</v>
      </c>
    </row>
    <row r="26" spans="1:8" ht="15" customHeight="1" x14ac:dyDescent="0.35">
      <c r="A26" s="10">
        <v>8</v>
      </c>
      <c r="B26" s="5" t="str">
        <f t="shared" si="0"/>
        <v>Portugal</v>
      </c>
      <c r="C26" s="17">
        <f t="shared" si="1"/>
        <v>0.12391658716188633</v>
      </c>
      <c r="D26" s="5" t="str">
        <f>$F$14</f>
        <v>Algeria</v>
      </c>
      <c r="E26" s="17">
        <f>$I$14</f>
        <v>9.9172396349616956E-2</v>
      </c>
      <c r="F26" s="18">
        <f t="shared" si="2"/>
        <v>1.2289104896310448E-2</v>
      </c>
      <c r="G26" s="10">
        <f t="shared" si="3"/>
        <v>17</v>
      </c>
    </row>
    <row r="27" spans="1:8" ht="15" customHeight="1" x14ac:dyDescent="0.35">
      <c r="A27" s="10">
        <v>9</v>
      </c>
      <c r="B27" s="5" t="str">
        <f t="shared" ref="B27:B34" si="4">$A$8</f>
        <v>Colombia</v>
      </c>
      <c r="C27" s="17">
        <f t="shared" ref="C27:C34" si="5">$D$8</f>
        <v>0.19883064150258595</v>
      </c>
      <c r="D27" s="5" t="str">
        <f>$F$7</f>
        <v>Spain</v>
      </c>
      <c r="E27" s="17">
        <f>$I$7</f>
        <v>0.34852941176470587</v>
      </c>
      <c r="F27" s="18">
        <f t="shared" si="2"/>
        <v>6.92983265236954E-2</v>
      </c>
      <c r="G27" s="10">
        <f t="shared" si="3"/>
        <v>1</v>
      </c>
    </row>
    <row r="28" spans="1:8" ht="15" customHeight="1" x14ac:dyDescent="0.35">
      <c r="A28" s="10">
        <v>10</v>
      </c>
      <c r="B28" s="5" t="str">
        <f t="shared" si="4"/>
        <v>Colombia</v>
      </c>
      <c r="C28" s="17">
        <f t="shared" si="5"/>
        <v>0.19883064150258595</v>
      </c>
      <c r="D28" s="5" t="str">
        <f>$F$8</f>
        <v>Uruguay</v>
      </c>
      <c r="E28" s="17">
        <f>$I$8</f>
        <v>6.6176470588235295E-2</v>
      </c>
      <c r="F28" s="18">
        <f t="shared" si="2"/>
        <v>1.3157910099435835E-2</v>
      </c>
      <c r="G28" s="10">
        <f t="shared" si="3"/>
        <v>15</v>
      </c>
    </row>
    <row r="29" spans="1:8" ht="15" customHeight="1" x14ac:dyDescent="0.35">
      <c r="A29" s="10">
        <v>11</v>
      </c>
      <c r="B29" s="5" t="str">
        <f t="shared" si="4"/>
        <v>Colombia</v>
      </c>
      <c r="C29" s="17">
        <f t="shared" si="5"/>
        <v>0.19883064150258595</v>
      </c>
      <c r="D29" s="5" t="str">
        <f>$F$9</f>
        <v>Saudi Arabia</v>
      </c>
      <c r="E29" s="17">
        <f>$I$9</f>
        <v>1.7647058823529412E-2</v>
      </c>
      <c r="F29" s="18">
        <f t="shared" si="2"/>
        <v>3.5087760265162227E-3</v>
      </c>
      <c r="G29" s="10">
        <f t="shared" si="3"/>
        <v>27</v>
      </c>
    </row>
    <row r="30" spans="1:8" ht="15" customHeight="1" x14ac:dyDescent="0.35">
      <c r="A30" s="10">
        <v>12</v>
      </c>
      <c r="B30" s="5" t="str">
        <f t="shared" si="4"/>
        <v>Colombia</v>
      </c>
      <c r="C30" s="17">
        <f t="shared" si="5"/>
        <v>0.19883064150258595</v>
      </c>
      <c r="D30" s="5" t="str">
        <f>$F$10</f>
        <v>Cape Verde</v>
      </c>
      <c r="E30" s="17">
        <f>$I$10</f>
        <v>1.7647058823529412E-2</v>
      </c>
      <c r="F30" s="18">
        <f t="shared" si="2"/>
        <v>3.5087760265162227E-3</v>
      </c>
      <c r="G30" s="10">
        <f t="shared" si="3"/>
        <v>27</v>
      </c>
    </row>
    <row r="31" spans="1:8" ht="15" customHeight="1" x14ac:dyDescent="0.35">
      <c r="A31" s="10">
        <v>13</v>
      </c>
      <c r="B31" s="5" t="str">
        <f t="shared" si="4"/>
        <v>Colombia</v>
      </c>
      <c r="C31" s="17">
        <f t="shared" si="5"/>
        <v>0.19883064150258595</v>
      </c>
      <c r="D31" s="5" t="str">
        <f>$F$11</f>
        <v>Argentina</v>
      </c>
      <c r="E31" s="17">
        <f>$I$11</f>
        <v>0.14080400932759971</v>
      </c>
      <c r="F31" s="18">
        <f t="shared" si="2"/>
        <v>2.7996151500742746E-2</v>
      </c>
      <c r="G31" s="10">
        <f t="shared" si="3"/>
        <v>6</v>
      </c>
    </row>
    <row r="32" spans="1:8" ht="15" customHeight="1" x14ac:dyDescent="0.35">
      <c r="A32" s="10">
        <v>14</v>
      </c>
      <c r="B32" s="5" t="str">
        <f t="shared" si="4"/>
        <v>Colombia</v>
      </c>
      <c r="C32" s="17">
        <f t="shared" si="5"/>
        <v>0.19883064150258595</v>
      </c>
      <c r="D32" s="5" t="str">
        <f>$F$12</f>
        <v>Austria</v>
      </c>
      <c r="E32" s="17">
        <f>$I$12</f>
        <v>0.14850319947844393</v>
      </c>
      <c r="F32" s="18">
        <f t="shared" si="2"/>
        <v>2.9526986417485492E-2</v>
      </c>
      <c r="G32" s="10">
        <f t="shared" si="3"/>
        <v>5</v>
      </c>
    </row>
    <row r="33" spans="1:7" ht="15" customHeight="1" x14ac:dyDescent="0.35">
      <c r="A33" s="10">
        <v>15</v>
      </c>
      <c r="B33" s="5" t="str">
        <f t="shared" si="4"/>
        <v>Colombia</v>
      </c>
      <c r="C33" s="17">
        <f t="shared" si="5"/>
        <v>0.19883064150258595</v>
      </c>
      <c r="D33" s="5" t="str">
        <f>$F$13</f>
        <v>Jordan</v>
      </c>
      <c r="E33" s="17">
        <f>$I$13</f>
        <v>2.670712840136423E-2</v>
      </c>
      <c r="F33" s="18">
        <f t="shared" si="2"/>
        <v>5.3101954727351828E-3</v>
      </c>
      <c r="G33" s="10">
        <f t="shared" si="3"/>
        <v>22</v>
      </c>
    </row>
    <row r="34" spans="1:7" ht="15" customHeight="1" x14ac:dyDescent="0.35">
      <c r="A34" s="10">
        <v>16</v>
      </c>
      <c r="B34" s="5" t="str">
        <f t="shared" si="4"/>
        <v>Colombia</v>
      </c>
      <c r="C34" s="17">
        <f t="shared" si="5"/>
        <v>0.19883064150258595</v>
      </c>
      <c r="D34" s="5" t="str">
        <f>$F$14</f>
        <v>Algeria</v>
      </c>
      <c r="E34" s="17">
        <f>$I$14</f>
        <v>9.9172396349616956E-2</v>
      </c>
      <c r="F34" s="18">
        <f t="shared" si="2"/>
        <v>1.9718511185543051E-2</v>
      </c>
      <c r="G34" s="10">
        <f t="shared" si="3"/>
        <v>9</v>
      </c>
    </row>
    <row r="35" spans="1:7" ht="15" customHeight="1" x14ac:dyDescent="0.35">
      <c r="A35" s="10">
        <v>17</v>
      </c>
      <c r="B35" s="5" t="str">
        <f t="shared" ref="B35:B42" si="6">$A$9</f>
        <v>Uzbekistan</v>
      </c>
      <c r="C35" s="17">
        <f t="shared" ref="C35:C42" si="7">$D$9</f>
        <v>1.2120569161084388E-2</v>
      </c>
      <c r="D35" s="5" t="str">
        <f>$F$7</f>
        <v>Spain</v>
      </c>
      <c r="E35" s="17">
        <f>$I$7</f>
        <v>0.34852941176470587</v>
      </c>
      <c r="F35" s="18">
        <f t="shared" si="2"/>
        <v>4.224374839966176E-3</v>
      </c>
      <c r="G35" s="10">
        <f t="shared" si="3"/>
        <v>25</v>
      </c>
    </row>
    <row r="36" spans="1:7" ht="15" customHeight="1" x14ac:dyDescent="0.35">
      <c r="A36" s="10">
        <v>18</v>
      </c>
      <c r="B36" s="5" t="str">
        <f t="shared" si="6"/>
        <v>Uzbekistan</v>
      </c>
      <c r="C36" s="17">
        <f t="shared" si="7"/>
        <v>1.2120569161084388E-2</v>
      </c>
      <c r="D36" s="5" t="str">
        <f>$F$8</f>
        <v>Uruguay</v>
      </c>
      <c r="E36" s="17">
        <f>$I$8</f>
        <v>6.6176470588235295E-2</v>
      </c>
      <c r="F36" s="18">
        <f t="shared" si="2"/>
        <v>8.0209648860117273E-4</v>
      </c>
      <c r="G36" s="10">
        <f t="shared" si="3"/>
        <v>43</v>
      </c>
    </row>
    <row r="37" spans="1:7" ht="15" customHeight="1" x14ac:dyDescent="0.35">
      <c r="A37" s="10">
        <v>19</v>
      </c>
      <c r="B37" s="5" t="str">
        <f t="shared" si="6"/>
        <v>Uzbekistan</v>
      </c>
      <c r="C37" s="17">
        <f t="shared" si="7"/>
        <v>1.2120569161084388E-2</v>
      </c>
      <c r="D37" s="5" t="str">
        <f>$F$9</f>
        <v>Saudi Arabia</v>
      </c>
      <c r="E37" s="17">
        <f>$I$9</f>
        <v>1.7647058823529412E-2</v>
      </c>
      <c r="F37" s="18">
        <f t="shared" si="2"/>
        <v>2.1389239696031274E-4</v>
      </c>
      <c r="G37" s="10">
        <f t="shared" si="3"/>
        <v>53</v>
      </c>
    </row>
    <row r="38" spans="1:7" ht="15" customHeight="1" x14ac:dyDescent="0.35">
      <c r="A38" s="10">
        <v>20</v>
      </c>
      <c r="B38" s="5" t="str">
        <f t="shared" si="6"/>
        <v>Uzbekistan</v>
      </c>
      <c r="C38" s="17">
        <f t="shared" si="7"/>
        <v>1.2120569161084388E-2</v>
      </c>
      <c r="D38" s="5" t="str">
        <f>$F$10</f>
        <v>Cape Verde</v>
      </c>
      <c r="E38" s="17">
        <f>$I$10</f>
        <v>1.7647058823529412E-2</v>
      </c>
      <c r="F38" s="18">
        <f t="shared" si="2"/>
        <v>2.1389239696031274E-4</v>
      </c>
      <c r="G38" s="10">
        <f t="shared" si="3"/>
        <v>53</v>
      </c>
    </row>
    <row r="39" spans="1:7" ht="15" customHeight="1" x14ac:dyDescent="0.35">
      <c r="A39" s="10">
        <v>21</v>
      </c>
      <c r="B39" s="5" t="str">
        <f t="shared" si="6"/>
        <v>Uzbekistan</v>
      </c>
      <c r="C39" s="17">
        <f t="shared" si="7"/>
        <v>1.2120569161084388E-2</v>
      </c>
      <c r="D39" s="5" t="str">
        <f>$F$11</f>
        <v>Argentina</v>
      </c>
      <c r="E39" s="17">
        <f>$I$11</f>
        <v>0.14080400932759971</v>
      </c>
      <c r="F39" s="18">
        <f t="shared" si="2"/>
        <v>1.7066247332131435E-3</v>
      </c>
      <c r="G39" s="10">
        <f t="shared" si="3"/>
        <v>40</v>
      </c>
    </row>
    <row r="40" spans="1:7" ht="15" customHeight="1" x14ac:dyDescent="0.35">
      <c r="A40" s="10">
        <v>22</v>
      </c>
      <c r="B40" s="5" t="str">
        <f t="shared" si="6"/>
        <v>Uzbekistan</v>
      </c>
      <c r="C40" s="17">
        <f t="shared" si="7"/>
        <v>1.2120569161084388E-2</v>
      </c>
      <c r="D40" s="5" t="str">
        <f>$F$12</f>
        <v>Austria</v>
      </c>
      <c r="E40" s="17">
        <f>$I$12</f>
        <v>0.14850319947844393</v>
      </c>
      <c r="F40" s="18">
        <f t="shared" si="2"/>
        <v>1.7999432999207907E-3</v>
      </c>
      <c r="G40" s="10">
        <f t="shared" si="3"/>
        <v>39</v>
      </c>
    </row>
    <row r="41" spans="1:7" ht="15" customHeight="1" x14ac:dyDescent="0.35">
      <c r="A41" s="10">
        <v>23</v>
      </c>
      <c r="B41" s="5" t="str">
        <f t="shared" si="6"/>
        <v>Uzbekistan</v>
      </c>
      <c r="C41" s="17">
        <f t="shared" si="7"/>
        <v>1.2120569161084388E-2</v>
      </c>
      <c r="D41" s="5" t="str">
        <f>$F$13</f>
        <v>Jordan</v>
      </c>
      <c r="E41" s="17">
        <f>$I$13</f>
        <v>2.670712840136423E-2</v>
      </c>
      <c r="F41" s="18">
        <f t="shared" si="2"/>
        <v>3.237055968826963E-4</v>
      </c>
      <c r="G41" s="10">
        <f t="shared" si="3"/>
        <v>48</v>
      </c>
    </row>
    <row r="42" spans="1:7" ht="15" customHeight="1" x14ac:dyDescent="0.35">
      <c r="A42" s="10">
        <v>24</v>
      </c>
      <c r="B42" s="5" t="str">
        <f t="shared" si="6"/>
        <v>Uzbekistan</v>
      </c>
      <c r="C42" s="17">
        <f t="shared" si="7"/>
        <v>1.2120569161084388E-2</v>
      </c>
      <c r="D42" s="5" t="str">
        <f>$F$14</f>
        <v>Algeria</v>
      </c>
      <c r="E42" s="17">
        <f>$I$14</f>
        <v>9.9172396349616956E-2</v>
      </c>
      <c r="F42" s="18">
        <f t="shared" si="2"/>
        <v>1.2020258888260052E-3</v>
      </c>
      <c r="G42" s="10">
        <f t="shared" si="3"/>
        <v>41</v>
      </c>
    </row>
    <row r="43" spans="1:7" ht="15" customHeight="1" x14ac:dyDescent="0.35">
      <c r="A43" s="10">
        <v>25</v>
      </c>
      <c r="B43" s="5" t="str">
        <f t="shared" ref="B43:B50" si="8">$A$10</f>
        <v>TBD_K4</v>
      </c>
      <c r="C43" s="17">
        <f t="shared" ref="C43:C50" si="9">$D$10</f>
        <v>2.0883176692496753E-3</v>
      </c>
      <c r="D43" s="5" t="str">
        <f>$F$7</f>
        <v>Spain</v>
      </c>
      <c r="E43" s="17">
        <f>$I$7</f>
        <v>0.34852941176470587</v>
      </c>
      <c r="F43" s="18">
        <f t="shared" si="2"/>
        <v>7.278401288414309E-4</v>
      </c>
      <c r="G43" s="10">
        <f t="shared" si="3"/>
        <v>45</v>
      </c>
    </row>
    <row r="44" spans="1:7" ht="15" customHeight="1" x14ac:dyDescent="0.35">
      <c r="A44" s="10">
        <v>26</v>
      </c>
      <c r="B44" s="5" t="str">
        <f t="shared" si="8"/>
        <v>TBD_K4</v>
      </c>
      <c r="C44" s="17">
        <f t="shared" si="9"/>
        <v>2.0883176692496753E-3</v>
      </c>
      <c r="D44" s="5" t="str">
        <f>$F$8</f>
        <v>Uruguay</v>
      </c>
      <c r="E44" s="17">
        <f>$I$8</f>
        <v>6.6176470588235295E-2</v>
      </c>
      <c r="F44" s="18">
        <f t="shared" si="2"/>
        <v>1.3819749281799323E-4</v>
      </c>
      <c r="G44" s="10">
        <f t="shared" si="3"/>
        <v>58</v>
      </c>
    </row>
    <row r="45" spans="1:7" ht="15" customHeight="1" x14ac:dyDescent="0.35">
      <c r="A45" s="10">
        <v>27</v>
      </c>
      <c r="B45" s="5" t="str">
        <f t="shared" si="8"/>
        <v>TBD_K4</v>
      </c>
      <c r="C45" s="17">
        <f t="shared" si="9"/>
        <v>2.0883176692496753E-3</v>
      </c>
      <c r="D45" s="5" t="str">
        <f>$F$9</f>
        <v>Saudi Arabia</v>
      </c>
      <c r="E45" s="17">
        <f>$I$9</f>
        <v>1.7647058823529412E-2</v>
      </c>
      <c r="F45" s="18">
        <f t="shared" si="2"/>
        <v>3.6852664751464858E-5</v>
      </c>
      <c r="G45" s="10">
        <f t="shared" si="3"/>
        <v>63</v>
      </c>
    </row>
    <row r="46" spans="1:7" ht="15" customHeight="1" x14ac:dyDescent="0.35">
      <c r="A46" s="10">
        <v>28</v>
      </c>
      <c r="B46" s="5" t="str">
        <f t="shared" si="8"/>
        <v>TBD_K4</v>
      </c>
      <c r="C46" s="17">
        <f t="shared" si="9"/>
        <v>2.0883176692496753E-3</v>
      </c>
      <c r="D46" s="5" t="str">
        <f>$F$10</f>
        <v>Cape Verde</v>
      </c>
      <c r="E46" s="17">
        <f>$I$10</f>
        <v>1.7647058823529412E-2</v>
      </c>
      <c r="F46" s="18">
        <f t="shared" si="2"/>
        <v>3.6852664751464858E-5</v>
      </c>
      <c r="G46" s="10">
        <f t="shared" si="3"/>
        <v>63</v>
      </c>
    </row>
    <row r="47" spans="1:7" ht="15" customHeight="1" x14ac:dyDescent="0.35">
      <c r="A47" s="10">
        <v>29</v>
      </c>
      <c r="B47" s="5" t="str">
        <f t="shared" si="8"/>
        <v>TBD_K4</v>
      </c>
      <c r="C47" s="17">
        <f t="shared" si="9"/>
        <v>2.0883176692496753E-3</v>
      </c>
      <c r="D47" s="5" t="str">
        <f>$F$11</f>
        <v>Argentina</v>
      </c>
      <c r="E47" s="17">
        <f>$I$11</f>
        <v>0.14080400932759971</v>
      </c>
      <c r="F47" s="18">
        <f t="shared" si="2"/>
        <v>2.9404350058002255E-4</v>
      </c>
      <c r="G47" s="10">
        <f t="shared" si="3"/>
        <v>52</v>
      </c>
    </row>
    <row r="48" spans="1:7" ht="15" customHeight="1" x14ac:dyDescent="0.35">
      <c r="A48" s="10">
        <v>30</v>
      </c>
      <c r="B48" s="5" t="str">
        <f t="shared" si="8"/>
        <v>TBD_K4</v>
      </c>
      <c r="C48" s="17">
        <f t="shared" si="9"/>
        <v>2.0883176692496753E-3</v>
      </c>
      <c r="D48" s="5" t="str">
        <f>$F$12</f>
        <v>Austria</v>
      </c>
      <c r="E48" s="17">
        <f>$I$12</f>
        <v>0.14850319947844393</v>
      </c>
      <c r="F48" s="18">
        <f t="shared" si="2"/>
        <v>3.1012185541094364E-4</v>
      </c>
      <c r="G48" s="10">
        <f t="shared" si="3"/>
        <v>50</v>
      </c>
    </row>
    <row r="49" spans="1:7" ht="15" customHeight="1" x14ac:dyDescent="0.35">
      <c r="A49" s="10">
        <v>31</v>
      </c>
      <c r="B49" s="5" t="str">
        <f t="shared" si="8"/>
        <v>TBD_K4</v>
      </c>
      <c r="C49" s="17">
        <f t="shared" si="9"/>
        <v>2.0883176692496753E-3</v>
      </c>
      <c r="D49" s="5" t="str">
        <f>$F$13</f>
        <v>Jordan</v>
      </c>
      <c r="E49" s="17">
        <f>$I$13</f>
        <v>2.670712840136423E-2</v>
      </c>
      <c r="F49" s="18">
        <f t="shared" si="2"/>
        <v>5.5772968135488756E-5</v>
      </c>
      <c r="G49" s="10">
        <f t="shared" si="3"/>
        <v>60</v>
      </c>
    </row>
    <row r="50" spans="1:7" ht="15" customHeight="1" x14ac:dyDescent="0.35">
      <c r="A50" s="10">
        <v>32</v>
      </c>
      <c r="B50" s="5" t="str">
        <f t="shared" si="8"/>
        <v>TBD_K4</v>
      </c>
      <c r="C50" s="17">
        <f t="shared" si="9"/>
        <v>2.0883176692496753E-3</v>
      </c>
      <c r="D50" s="5" t="str">
        <f>$F$14</f>
        <v>Algeria</v>
      </c>
      <c r="E50" s="17">
        <f>$I$14</f>
        <v>9.9172396349616956E-2</v>
      </c>
      <c r="F50" s="18">
        <f t="shared" si="2"/>
        <v>2.0710346759873709E-4</v>
      </c>
      <c r="G50" s="10">
        <f t="shared" si="3"/>
        <v>56</v>
      </c>
    </row>
    <row r="51" spans="1:7" ht="15" customHeight="1" x14ac:dyDescent="0.35">
      <c r="A51" s="10">
        <v>33</v>
      </c>
      <c r="B51" s="5" t="str">
        <f t="shared" ref="B51:B58" si="10">$A$11</f>
        <v>England</v>
      </c>
      <c r="C51" s="17">
        <f t="shared" ref="C51:C58" si="11">$D$11</f>
        <v>0.13095379306626403</v>
      </c>
      <c r="D51" s="5" t="str">
        <f>$F$7</f>
        <v>Spain</v>
      </c>
      <c r="E51" s="17">
        <f>$I$7</f>
        <v>0.34852941176470587</v>
      </c>
      <c r="F51" s="18">
        <f t="shared" ref="F51:F82" si="12">C51*E51</f>
        <v>4.5641248465742024E-2</v>
      </c>
      <c r="G51" s="10">
        <f t="shared" ref="G51:G82" si="13">RANK(F51,$F$19:$F$82,0)</f>
        <v>3</v>
      </c>
    </row>
    <row r="52" spans="1:7" ht="15" customHeight="1" x14ac:dyDescent="0.35">
      <c r="A52" s="10">
        <v>34</v>
      </c>
      <c r="B52" s="5" t="str">
        <f t="shared" si="10"/>
        <v>England</v>
      </c>
      <c r="C52" s="17">
        <f t="shared" si="11"/>
        <v>0.13095379306626403</v>
      </c>
      <c r="D52" s="5" t="str">
        <f>$F$8</f>
        <v>Uruguay</v>
      </c>
      <c r="E52" s="17">
        <f>$I$8</f>
        <v>6.6176470588235295E-2</v>
      </c>
      <c r="F52" s="18">
        <f t="shared" si="12"/>
        <v>8.6660598352674735E-3</v>
      </c>
      <c r="G52" s="10">
        <f t="shared" si="13"/>
        <v>20</v>
      </c>
    </row>
    <row r="53" spans="1:7" ht="15" customHeight="1" x14ac:dyDescent="0.35">
      <c r="A53" s="10">
        <v>35</v>
      </c>
      <c r="B53" s="5" t="str">
        <f t="shared" si="10"/>
        <v>England</v>
      </c>
      <c r="C53" s="17">
        <f t="shared" si="11"/>
        <v>0.13095379306626403</v>
      </c>
      <c r="D53" s="5" t="str">
        <f>$F$9</f>
        <v>Saudi Arabia</v>
      </c>
      <c r="E53" s="17">
        <f>$I$9</f>
        <v>1.7647058823529412E-2</v>
      </c>
      <c r="F53" s="18">
        <f t="shared" si="12"/>
        <v>2.3109492894046596E-3</v>
      </c>
      <c r="G53" s="10">
        <f t="shared" si="13"/>
        <v>34</v>
      </c>
    </row>
    <row r="54" spans="1:7" ht="15" customHeight="1" x14ac:dyDescent="0.35">
      <c r="A54" s="10">
        <v>36</v>
      </c>
      <c r="B54" s="5" t="str">
        <f t="shared" si="10"/>
        <v>England</v>
      </c>
      <c r="C54" s="17">
        <f t="shared" si="11"/>
        <v>0.13095379306626403</v>
      </c>
      <c r="D54" s="5" t="str">
        <f>$F$10</f>
        <v>Cape Verde</v>
      </c>
      <c r="E54" s="17">
        <f>$I$10</f>
        <v>1.7647058823529412E-2</v>
      </c>
      <c r="F54" s="18">
        <f t="shared" si="12"/>
        <v>2.3109492894046596E-3</v>
      </c>
      <c r="G54" s="10">
        <f t="shared" si="13"/>
        <v>34</v>
      </c>
    </row>
    <row r="55" spans="1:7" ht="15" customHeight="1" x14ac:dyDescent="0.35">
      <c r="A55" s="10">
        <v>37</v>
      </c>
      <c r="B55" s="5" t="str">
        <f t="shared" si="10"/>
        <v>England</v>
      </c>
      <c r="C55" s="17">
        <f t="shared" si="11"/>
        <v>0.13095379306626403</v>
      </c>
      <c r="D55" s="5" t="str">
        <f>$F$11</f>
        <v>Argentina</v>
      </c>
      <c r="E55" s="17">
        <f>$I$11</f>
        <v>0.14080400932759971</v>
      </c>
      <c r="F55" s="18">
        <f t="shared" si="12"/>
        <v>1.8438819100386802E-2</v>
      </c>
      <c r="G55" s="10">
        <f t="shared" si="13"/>
        <v>11</v>
      </c>
    </row>
    <row r="56" spans="1:7" ht="15" customHeight="1" x14ac:dyDescent="0.35">
      <c r="A56" s="10">
        <v>38</v>
      </c>
      <c r="B56" s="5" t="str">
        <f t="shared" si="10"/>
        <v>England</v>
      </c>
      <c r="C56" s="17">
        <f t="shared" si="11"/>
        <v>0.13095379306626403</v>
      </c>
      <c r="D56" s="5" t="str">
        <f>$F$12</f>
        <v>Austria</v>
      </c>
      <c r="E56" s="17">
        <f>$I$12</f>
        <v>0.14850319947844393</v>
      </c>
      <c r="F56" s="18">
        <f t="shared" si="12"/>
        <v>1.9447057254178276E-2</v>
      </c>
      <c r="G56" s="10">
        <f t="shared" si="13"/>
        <v>10</v>
      </c>
    </row>
    <row r="57" spans="1:7" ht="15" customHeight="1" x14ac:dyDescent="0.35">
      <c r="A57" s="10">
        <v>39</v>
      </c>
      <c r="B57" s="5" t="str">
        <f t="shared" si="10"/>
        <v>England</v>
      </c>
      <c r="C57" s="17">
        <f t="shared" si="11"/>
        <v>0.13095379306626403</v>
      </c>
      <c r="D57" s="5" t="str">
        <f>$F$13</f>
        <v>Jordan</v>
      </c>
      <c r="E57" s="17">
        <f>$I$13</f>
        <v>2.670712840136423E-2</v>
      </c>
      <c r="F57" s="18">
        <f t="shared" si="12"/>
        <v>3.4973997660663943E-3</v>
      </c>
      <c r="G57" s="10">
        <f t="shared" si="13"/>
        <v>29</v>
      </c>
    </row>
    <row r="58" spans="1:7" ht="15" customHeight="1" x14ac:dyDescent="0.35">
      <c r="A58" s="10">
        <v>40</v>
      </c>
      <c r="B58" s="5" t="str">
        <f t="shared" si="10"/>
        <v>England</v>
      </c>
      <c r="C58" s="17">
        <f t="shared" si="11"/>
        <v>0.13095379306626403</v>
      </c>
      <c r="D58" s="5" t="str">
        <f>$F$14</f>
        <v>Algeria</v>
      </c>
      <c r="E58" s="17">
        <f>$I$14</f>
        <v>9.9172396349616956E-2</v>
      </c>
      <c r="F58" s="18">
        <f t="shared" si="12"/>
        <v>1.2987001469453257E-2</v>
      </c>
      <c r="G58" s="10">
        <f t="shared" si="13"/>
        <v>16</v>
      </c>
    </row>
    <row r="59" spans="1:7" ht="15" customHeight="1" x14ac:dyDescent="0.35">
      <c r="A59" s="10">
        <v>41</v>
      </c>
      <c r="B59" s="5" t="str">
        <f t="shared" ref="B59:B66" si="14">$A$12</f>
        <v>Croatia</v>
      </c>
      <c r="C59" s="17">
        <f t="shared" ref="C59:C66" si="15">$D$12</f>
        <v>0.14092465079677352</v>
      </c>
      <c r="D59" s="5" t="str">
        <f>$F$7</f>
        <v>Spain</v>
      </c>
      <c r="E59" s="17">
        <f>$I$7</f>
        <v>0.34852941176470587</v>
      </c>
      <c r="F59" s="18">
        <f t="shared" si="12"/>
        <v>4.911638564534606E-2</v>
      </c>
      <c r="G59" s="10">
        <f t="shared" si="13"/>
        <v>2</v>
      </c>
    </row>
    <row r="60" spans="1:7" ht="15" customHeight="1" x14ac:dyDescent="0.35">
      <c r="A60" s="10">
        <v>42</v>
      </c>
      <c r="B60" s="5" t="str">
        <f t="shared" si="14"/>
        <v>Croatia</v>
      </c>
      <c r="C60" s="17">
        <f t="shared" si="15"/>
        <v>0.14092465079677352</v>
      </c>
      <c r="D60" s="5" t="str">
        <f>$F$8</f>
        <v>Uruguay</v>
      </c>
      <c r="E60" s="17">
        <f>$I$8</f>
        <v>6.6176470588235295E-2</v>
      </c>
      <c r="F60" s="18">
        <f t="shared" si="12"/>
        <v>9.3258960086100122E-3</v>
      </c>
      <c r="G60" s="10">
        <f t="shared" si="13"/>
        <v>19</v>
      </c>
    </row>
    <row r="61" spans="1:7" ht="15" customHeight="1" x14ac:dyDescent="0.35">
      <c r="A61" s="10">
        <v>43</v>
      </c>
      <c r="B61" s="5" t="str">
        <f t="shared" si="14"/>
        <v>Croatia</v>
      </c>
      <c r="C61" s="17">
        <f t="shared" si="15"/>
        <v>0.14092465079677352</v>
      </c>
      <c r="D61" s="5" t="str">
        <f>$F$9</f>
        <v>Saudi Arabia</v>
      </c>
      <c r="E61" s="17">
        <f>$I$9</f>
        <v>1.7647058823529412E-2</v>
      </c>
      <c r="F61" s="18">
        <f t="shared" si="12"/>
        <v>2.4869056022960032E-3</v>
      </c>
      <c r="G61" s="10">
        <f t="shared" si="13"/>
        <v>32</v>
      </c>
    </row>
    <row r="62" spans="1:7" ht="15" customHeight="1" x14ac:dyDescent="0.35">
      <c r="A62" s="10">
        <v>44</v>
      </c>
      <c r="B62" s="5" t="str">
        <f t="shared" si="14"/>
        <v>Croatia</v>
      </c>
      <c r="C62" s="17">
        <f t="shared" si="15"/>
        <v>0.14092465079677352</v>
      </c>
      <c r="D62" s="5" t="str">
        <f>$F$10</f>
        <v>Cape Verde</v>
      </c>
      <c r="E62" s="17">
        <f>$I$10</f>
        <v>1.7647058823529412E-2</v>
      </c>
      <c r="F62" s="18">
        <f t="shared" si="12"/>
        <v>2.4869056022960032E-3</v>
      </c>
      <c r="G62" s="10">
        <f t="shared" si="13"/>
        <v>32</v>
      </c>
    </row>
    <row r="63" spans="1:7" ht="15" customHeight="1" x14ac:dyDescent="0.35">
      <c r="A63" s="10">
        <v>45</v>
      </c>
      <c r="B63" s="5" t="str">
        <f t="shared" si="14"/>
        <v>Croatia</v>
      </c>
      <c r="C63" s="17">
        <f t="shared" si="15"/>
        <v>0.14092465079677352</v>
      </c>
      <c r="D63" s="5" t="str">
        <f>$F$11</f>
        <v>Argentina</v>
      </c>
      <c r="E63" s="17">
        <f>$I$11</f>
        <v>0.14080400932759971</v>
      </c>
      <c r="F63" s="18">
        <f t="shared" si="12"/>
        <v>1.9842755845277629E-2</v>
      </c>
      <c r="G63" s="10">
        <f t="shared" si="13"/>
        <v>8</v>
      </c>
    </row>
    <row r="64" spans="1:7" ht="15" customHeight="1" x14ac:dyDescent="0.35">
      <c r="A64" s="10">
        <v>46</v>
      </c>
      <c r="B64" s="5" t="str">
        <f t="shared" si="14"/>
        <v>Croatia</v>
      </c>
      <c r="C64" s="17">
        <f t="shared" si="15"/>
        <v>0.14092465079677352</v>
      </c>
      <c r="D64" s="5" t="str">
        <f>$F$12</f>
        <v>Austria</v>
      </c>
      <c r="E64" s="17">
        <f>$I$12</f>
        <v>0.14850319947844393</v>
      </c>
      <c r="F64" s="18">
        <f t="shared" si="12"/>
        <v>2.092776152870331E-2</v>
      </c>
      <c r="G64" s="10">
        <f t="shared" si="13"/>
        <v>7</v>
      </c>
    </row>
    <row r="65" spans="1:7" ht="15" customHeight="1" x14ac:dyDescent="0.35">
      <c r="A65" s="10">
        <v>47</v>
      </c>
      <c r="B65" s="5" t="str">
        <f t="shared" si="14"/>
        <v>Croatia</v>
      </c>
      <c r="C65" s="17">
        <f t="shared" si="15"/>
        <v>0.14092465079677352</v>
      </c>
      <c r="D65" s="5" t="str">
        <f>$F$13</f>
        <v>Jordan</v>
      </c>
      <c r="E65" s="17">
        <f>$I$13</f>
        <v>2.670712840136423E-2</v>
      </c>
      <c r="F65" s="18">
        <f t="shared" si="12"/>
        <v>3.7636927437468466E-3</v>
      </c>
      <c r="G65" s="10">
        <f t="shared" si="13"/>
        <v>26</v>
      </c>
    </row>
    <row r="66" spans="1:7" ht="15" customHeight="1" x14ac:dyDescent="0.35">
      <c r="A66" s="10">
        <v>48</v>
      </c>
      <c r="B66" s="5" t="str">
        <f t="shared" si="14"/>
        <v>Croatia</v>
      </c>
      <c r="C66" s="17">
        <f t="shared" si="15"/>
        <v>0.14092465079677352</v>
      </c>
      <c r="D66" s="5" t="str">
        <f>$F$14</f>
        <v>Algeria</v>
      </c>
      <c r="E66" s="17">
        <f>$I$14</f>
        <v>9.9172396349616956E-2</v>
      </c>
      <c r="F66" s="18">
        <f t="shared" si="12"/>
        <v>1.3975835324248986E-2</v>
      </c>
      <c r="G66" s="10">
        <f t="shared" si="13"/>
        <v>14</v>
      </c>
    </row>
    <row r="67" spans="1:7" ht="15" customHeight="1" x14ac:dyDescent="0.35">
      <c r="A67" s="10">
        <v>49</v>
      </c>
      <c r="B67" s="5" t="str">
        <f t="shared" ref="B67:B74" si="16">$A$13</f>
        <v>Ghana</v>
      </c>
      <c r="C67" s="17">
        <f t="shared" ref="C67:C74" si="17">$D$13</f>
        <v>3.2762472077438563E-2</v>
      </c>
      <c r="D67" s="5" t="str">
        <f>$F$7</f>
        <v>Spain</v>
      </c>
      <c r="E67" s="17">
        <f>$I$7</f>
        <v>0.34852941176470587</v>
      </c>
      <c r="F67" s="18">
        <f t="shared" si="12"/>
        <v>1.1418685121107263E-2</v>
      </c>
      <c r="G67" s="10">
        <f t="shared" si="13"/>
        <v>18</v>
      </c>
    </row>
    <row r="68" spans="1:7" ht="15" customHeight="1" x14ac:dyDescent="0.35">
      <c r="A68" s="10">
        <v>50</v>
      </c>
      <c r="B68" s="5" t="str">
        <f t="shared" si="16"/>
        <v>Ghana</v>
      </c>
      <c r="C68" s="17">
        <f t="shared" si="17"/>
        <v>3.2762472077438563E-2</v>
      </c>
      <c r="D68" s="5" t="str">
        <f>$F$8</f>
        <v>Uruguay</v>
      </c>
      <c r="E68" s="17">
        <f>$I$8</f>
        <v>6.6176470588235295E-2</v>
      </c>
      <c r="F68" s="18">
        <f t="shared" si="12"/>
        <v>2.1681047698304933E-3</v>
      </c>
      <c r="G68" s="10">
        <f t="shared" si="13"/>
        <v>38</v>
      </c>
    </row>
    <row r="69" spans="1:7" ht="15" customHeight="1" x14ac:dyDescent="0.35">
      <c r="A69" s="10">
        <v>51</v>
      </c>
      <c r="B69" s="5" t="str">
        <f t="shared" si="16"/>
        <v>Ghana</v>
      </c>
      <c r="C69" s="17">
        <f t="shared" si="17"/>
        <v>3.2762472077438563E-2</v>
      </c>
      <c r="D69" s="5" t="str">
        <f>$F$9</f>
        <v>Saudi Arabia</v>
      </c>
      <c r="E69" s="17">
        <f>$I$9</f>
        <v>1.7647058823529412E-2</v>
      </c>
      <c r="F69" s="18">
        <f t="shared" si="12"/>
        <v>5.781612719547982E-4</v>
      </c>
      <c r="G69" s="10">
        <f t="shared" si="13"/>
        <v>46</v>
      </c>
    </row>
    <row r="70" spans="1:7" ht="15" customHeight="1" x14ac:dyDescent="0.35">
      <c r="A70" s="10">
        <v>52</v>
      </c>
      <c r="B70" s="5" t="str">
        <f t="shared" si="16"/>
        <v>Ghana</v>
      </c>
      <c r="C70" s="17">
        <f t="shared" si="17"/>
        <v>3.2762472077438563E-2</v>
      </c>
      <c r="D70" s="5" t="str">
        <f>$F$10</f>
        <v>Cape Verde</v>
      </c>
      <c r="E70" s="17">
        <f>$I$10</f>
        <v>1.7647058823529412E-2</v>
      </c>
      <c r="F70" s="18">
        <f t="shared" si="12"/>
        <v>5.781612719547982E-4</v>
      </c>
      <c r="G70" s="10">
        <f t="shared" si="13"/>
        <v>46</v>
      </c>
    </row>
    <row r="71" spans="1:7" ht="15" customHeight="1" x14ac:dyDescent="0.35">
      <c r="A71" s="10">
        <v>53</v>
      </c>
      <c r="B71" s="5" t="str">
        <f t="shared" si="16"/>
        <v>Ghana</v>
      </c>
      <c r="C71" s="17">
        <f t="shared" si="17"/>
        <v>3.2762472077438563E-2</v>
      </c>
      <c r="D71" s="5" t="str">
        <f>$F$11</f>
        <v>Argentina</v>
      </c>
      <c r="E71" s="17">
        <f>$I$11</f>
        <v>0.14080400932759971</v>
      </c>
      <c r="F71" s="18">
        <f t="shared" si="12"/>
        <v>4.6130874239868848E-3</v>
      </c>
      <c r="G71" s="10">
        <f t="shared" si="13"/>
        <v>24</v>
      </c>
    </row>
    <row r="72" spans="1:7" ht="15" customHeight="1" x14ac:dyDescent="0.35">
      <c r="A72" s="10">
        <v>54</v>
      </c>
      <c r="B72" s="5" t="str">
        <f t="shared" si="16"/>
        <v>Ghana</v>
      </c>
      <c r="C72" s="17">
        <f t="shared" si="17"/>
        <v>3.2762472077438563E-2</v>
      </c>
      <c r="D72" s="5" t="str">
        <f>$F$12</f>
        <v>Austria</v>
      </c>
      <c r="E72" s="17">
        <f>$I$12</f>
        <v>0.14850319947844393</v>
      </c>
      <c r="F72" s="18">
        <f t="shared" si="12"/>
        <v>4.865331926322808E-3</v>
      </c>
      <c r="G72" s="10">
        <f t="shared" si="13"/>
        <v>23</v>
      </c>
    </row>
    <row r="73" spans="1:7" ht="15" customHeight="1" x14ac:dyDescent="0.35">
      <c r="A73" s="10">
        <v>55</v>
      </c>
      <c r="B73" s="5" t="str">
        <f t="shared" si="16"/>
        <v>Ghana</v>
      </c>
      <c r="C73" s="17">
        <f t="shared" si="17"/>
        <v>3.2762472077438563E-2</v>
      </c>
      <c r="D73" s="5" t="str">
        <f>$F$13</f>
        <v>Jordan</v>
      </c>
      <c r="E73" s="17">
        <f>$I$13</f>
        <v>2.670712840136423E-2</v>
      </c>
      <c r="F73" s="18">
        <f t="shared" si="12"/>
        <v>8.7499154851826205E-4</v>
      </c>
      <c r="G73" s="10">
        <f t="shared" si="13"/>
        <v>42</v>
      </c>
    </row>
    <row r="74" spans="1:7" ht="15" customHeight="1" x14ac:dyDescent="0.35">
      <c r="A74" s="10">
        <v>56</v>
      </c>
      <c r="B74" s="5" t="str">
        <f t="shared" si="16"/>
        <v>Ghana</v>
      </c>
      <c r="C74" s="17">
        <f t="shared" si="17"/>
        <v>3.2762472077438563E-2</v>
      </c>
      <c r="D74" s="5" t="str">
        <f>$F$14</f>
        <v>Algeria</v>
      </c>
      <c r="E74" s="17">
        <f>$I$14</f>
        <v>9.9172396349616956E-2</v>
      </c>
      <c r="F74" s="18">
        <f t="shared" si="12"/>
        <v>3.2491328662569955E-3</v>
      </c>
      <c r="G74" s="10">
        <f t="shared" si="13"/>
        <v>31</v>
      </c>
    </row>
    <row r="75" spans="1:7" ht="15" customHeight="1" x14ac:dyDescent="0.35">
      <c r="A75" s="10">
        <v>57</v>
      </c>
      <c r="B75" s="5" t="str">
        <f t="shared" ref="B75:B82" si="18">$A$14</f>
        <v>Panama</v>
      </c>
      <c r="C75" s="17">
        <f t="shared" ref="C75:C82" si="19">$D$14</f>
        <v>2.105894006109589E-3</v>
      </c>
      <c r="D75" s="5" t="str">
        <f>$F$7</f>
        <v>Spain</v>
      </c>
      <c r="E75" s="17">
        <f>$I$7</f>
        <v>0.34852941176470587</v>
      </c>
      <c r="F75" s="18">
        <f t="shared" si="12"/>
        <v>7.3396599918819502E-4</v>
      </c>
      <c r="G75" s="10">
        <f t="shared" si="13"/>
        <v>44</v>
      </c>
    </row>
    <row r="76" spans="1:7" ht="15" customHeight="1" x14ac:dyDescent="0.35">
      <c r="A76" s="10">
        <v>58</v>
      </c>
      <c r="B76" s="5" t="str">
        <f t="shared" si="18"/>
        <v>Panama</v>
      </c>
      <c r="C76" s="17">
        <f t="shared" si="19"/>
        <v>2.105894006109589E-3</v>
      </c>
      <c r="D76" s="5" t="str">
        <f>$F$8</f>
        <v>Uruguay</v>
      </c>
      <c r="E76" s="17">
        <f>$I$8</f>
        <v>6.6176470588235295E-2</v>
      </c>
      <c r="F76" s="18">
        <f t="shared" si="12"/>
        <v>1.3936063275725221E-4</v>
      </c>
      <c r="G76" s="10">
        <f t="shared" si="13"/>
        <v>57</v>
      </c>
    </row>
    <row r="77" spans="1:7" ht="15" customHeight="1" x14ac:dyDescent="0.35">
      <c r="A77" s="10">
        <v>59</v>
      </c>
      <c r="B77" s="5" t="str">
        <f t="shared" si="18"/>
        <v>Panama</v>
      </c>
      <c r="C77" s="17">
        <f t="shared" si="19"/>
        <v>2.105894006109589E-3</v>
      </c>
      <c r="D77" s="5" t="str">
        <f>$F$9</f>
        <v>Saudi Arabia</v>
      </c>
      <c r="E77" s="17">
        <f>$I$9</f>
        <v>1.7647058823529412E-2</v>
      </c>
      <c r="F77" s="18">
        <f t="shared" si="12"/>
        <v>3.7162835401933923E-5</v>
      </c>
      <c r="G77" s="10">
        <f t="shared" si="13"/>
        <v>61</v>
      </c>
    </row>
    <row r="78" spans="1:7" ht="15" customHeight="1" x14ac:dyDescent="0.35">
      <c r="A78" s="10">
        <v>60</v>
      </c>
      <c r="B78" s="5" t="str">
        <f t="shared" si="18"/>
        <v>Panama</v>
      </c>
      <c r="C78" s="17">
        <f t="shared" si="19"/>
        <v>2.105894006109589E-3</v>
      </c>
      <c r="D78" s="5" t="str">
        <f>$F$10</f>
        <v>Cape Verde</v>
      </c>
      <c r="E78" s="17">
        <f>$I$10</f>
        <v>1.7647058823529412E-2</v>
      </c>
      <c r="F78" s="18">
        <f t="shared" si="12"/>
        <v>3.7162835401933923E-5</v>
      </c>
      <c r="G78" s="10">
        <f t="shared" si="13"/>
        <v>61</v>
      </c>
    </row>
    <row r="79" spans="1:7" ht="15" customHeight="1" x14ac:dyDescent="0.35">
      <c r="A79" s="10">
        <v>61</v>
      </c>
      <c r="B79" s="5" t="str">
        <f t="shared" si="18"/>
        <v>Panama</v>
      </c>
      <c r="C79" s="17">
        <f t="shared" si="19"/>
        <v>2.105894006109589E-3</v>
      </c>
      <c r="D79" s="5" t="str">
        <f>$F$11</f>
        <v>Argentina</v>
      </c>
      <c r="E79" s="17">
        <f>$I$11</f>
        <v>0.14080400932759971</v>
      </c>
      <c r="F79" s="18">
        <f t="shared" si="12"/>
        <v>2.9651831927919088E-4</v>
      </c>
      <c r="G79" s="10">
        <f t="shared" si="13"/>
        <v>51</v>
      </c>
    </row>
    <row r="80" spans="1:7" ht="15" customHeight="1" x14ac:dyDescent="0.35">
      <c r="A80" s="10">
        <v>62</v>
      </c>
      <c r="B80" s="5" t="str">
        <f t="shared" si="18"/>
        <v>Panama</v>
      </c>
      <c r="C80" s="17">
        <f t="shared" si="19"/>
        <v>2.105894006109589E-3</v>
      </c>
      <c r="D80" s="5" t="str">
        <f>$F$12</f>
        <v>Austria</v>
      </c>
      <c r="E80" s="17">
        <f>$I$12</f>
        <v>0.14850319947844393</v>
      </c>
      <c r="F80" s="18">
        <f t="shared" si="12"/>
        <v>3.1273199766975173E-4</v>
      </c>
      <c r="G80" s="10">
        <f t="shared" si="13"/>
        <v>49</v>
      </c>
    </row>
    <row r="81" spans="1:7" ht="15" customHeight="1" x14ac:dyDescent="0.35">
      <c r="A81" s="10">
        <v>63</v>
      </c>
      <c r="B81" s="5" t="str">
        <f t="shared" si="18"/>
        <v>Panama</v>
      </c>
      <c r="C81" s="17">
        <f t="shared" si="19"/>
        <v>2.105894006109589E-3</v>
      </c>
      <c r="D81" s="5" t="str">
        <f>$F$13</f>
        <v>Jordan</v>
      </c>
      <c r="E81" s="17">
        <f>$I$13</f>
        <v>2.670712840136423E-2</v>
      </c>
      <c r="F81" s="18">
        <f t="shared" si="12"/>
        <v>5.6242381620832104E-5</v>
      </c>
      <c r="G81" s="10">
        <f t="shared" si="13"/>
        <v>59</v>
      </c>
    </row>
    <row r="82" spans="1:7" ht="15" customHeight="1" x14ac:dyDescent="0.35">
      <c r="A82" s="10">
        <v>64</v>
      </c>
      <c r="B82" s="5" t="str">
        <f t="shared" si="18"/>
        <v>Panama</v>
      </c>
      <c r="C82" s="17">
        <f t="shared" si="19"/>
        <v>2.105894006109589E-3</v>
      </c>
      <c r="D82" s="5" t="str">
        <f>$F$14</f>
        <v>Algeria</v>
      </c>
      <c r="E82" s="17">
        <f>$I$14</f>
        <v>9.9172396349616956E-2</v>
      </c>
      <c r="F82" s="18">
        <f t="shared" si="12"/>
        <v>2.0884655504418284E-4</v>
      </c>
      <c r="G82" s="10">
        <f t="shared" si="13"/>
        <v>55</v>
      </c>
    </row>
    <row r="85" spans="1:7" ht="15" customHeight="1" x14ac:dyDescent="0.35">
      <c r="A85" s="69" t="s">
        <v>419</v>
      </c>
      <c r="B85" s="69"/>
      <c r="C85" s="69"/>
      <c r="D85" s="69"/>
      <c r="E85" s="69"/>
      <c r="F85" s="69"/>
    </row>
    <row r="86" spans="1:7" ht="15" customHeight="1" x14ac:dyDescent="0.35">
      <c r="A86" s="1" t="s">
        <v>335</v>
      </c>
      <c r="B86" s="1" t="s">
        <v>251</v>
      </c>
      <c r="C86" s="1" t="s">
        <v>336</v>
      </c>
      <c r="D86" s="1" t="s">
        <v>252</v>
      </c>
      <c r="E86" s="1" t="s">
        <v>336</v>
      </c>
      <c r="F86" s="1" t="s">
        <v>337</v>
      </c>
    </row>
    <row r="87" spans="1:7" ht="15" customHeight="1" x14ac:dyDescent="0.35">
      <c r="A87" s="7">
        <v>1</v>
      </c>
      <c r="B87" s="14" t="str">
        <f>IFERROR(INDEX($B$19:$B$82,MATCH(LARGE($F$19:$F$82,1),$F$19:$F$82,0)),"-")</f>
        <v>Colombia</v>
      </c>
      <c r="C87" s="15">
        <f>IFERROR(INDEX($C$19:$C$82,MATCH(LARGE($F$19:$F$82,1),$F$19:$F$82,0)),0)</f>
        <v>0.19883064150258595</v>
      </c>
      <c r="D87" s="14" t="str">
        <f>IFERROR(INDEX($D$19:$D$82,MATCH(LARGE($F$19:$F$82,1),$F$19:$F$82,0)),"-")</f>
        <v>Spain</v>
      </c>
      <c r="E87" s="15">
        <f>IFERROR(INDEX($E$19:$E$82,MATCH(LARGE($F$19:$F$82,1),$F$19:$F$82,0)),0)</f>
        <v>0.34852941176470587</v>
      </c>
      <c r="F87" s="16">
        <f>LARGE($F$19:$F$82,1)</f>
        <v>6.92983265236954E-2</v>
      </c>
    </row>
    <row r="88" spans="1:7" ht="15" customHeight="1" x14ac:dyDescent="0.35">
      <c r="A88" s="6">
        <v>2</v>
      </c>
      <c r="B88" s="3" t="str">
        <f>IFERROR(INDEX($B$19:$B$82,MATCH(LARGE($F$19:$F$82,2),$F$19:$F$82,0)),"-")</f>
        <v>Croatia</v>
      </c>
      <c r="C88" s="12">
        <f>IFERROR(INDEX($C$19:$C$82,MATCH(LARGE($F$19:$F$82,2),$F$19:$F$82,0)),0)</f>
        <v>0.14092465079677352</v>
      </c>
      <c r="D88" s="3" t="str">
        <f>IFERROR(INDEX($D$19:$D$82,MATCH(LARGE($F$19:$F$82,2),$F$19:$F$82,0)),"-")</f>
        <v>Spain</v>
      </c>
      <c r="E88" s="12">
        <f>IFERROR(INDEX($E$19:$E$82,MATCH(LARGE($F$19:$F$82,2),$F$19:$F$82,0)),0)</f>
        <v>0.34852941176470587</v>
      </c>
      <c r="F88" s="13">
        <f>LARGE($F$19:$F$82,2)</f>
        <v>4.911638564534606E-2</v>
      </c>
    </row>
    <row r="89" spans="1:7" ht="15" customHeight="1" x14ac:dyDescent="0.35">
      <c r="A89" s="6">
        <v>3</v>
      </c>
      <c r="B89" s="3" t="str">
        <f>IFERROR(INDEX($B$19:$B$82,MATCH(LARGE($F$19:$F$82,3),$F$19:$F$82,0)),"-")</f>
        <v>England</v>
      </c>
      <c r="C89" s="12">
        <f>IFERROR(INDEX($C$19:$C$82,MATCH(LARGE($F$19:$F$82,3),$F$19:$F$82,0)),0)</f>
        <v>0.13095379306626403</v>
      </c>
      <c r="D89" s="3" t="str">
        <f>IFERROR(INDEX($D$19:$D$82,MATCH(LARGE($F$19:$F$82,3),$F$19:$F$82,0)),"-")</f>
        <v>Spain</v>
      </c>
      <c r="E89" s="12">
        <f>IFERROR(INDEX($E$19:$E$82,MATCH(LARGE($F$19:$F$82,3),$F$19:$F$82,0)),0)</f>
        <v>0.34852941176470587</v>
      </c>
      <c r="F89" s="13">
        <f>LARGE($F$19:$F$82,3)</f>
        <v>4.5641248465742024E-2</v>
      </c>
    </row>
    <row r="90" spans="1:7" x14ac:dyDescent="0.35">
      <c r="A90" s="6">
        <v>4</v>
      </c>
      <c r="B90" s="3" t="str">
        <f>IFERROR(INDEX($B$19:$B$82,MATCH(LARGE($F$19:$F$82,4),$F$19:$F$82,0)),"-")</f>
        <v>Portugal</v>
      </c>
      <c r="C90" s="12">
        <f t="shared" ref="C90:C91" si="20">IFERROR(INDEX($C$19:$C$82,MATCH(LARGE($F$19:$F$82,3),$F$19:$F$82,0)),0)</f>
        <v>0.13095379306626403</v>
      </c>
      <c r="D90" s="3" t="str">
        <f>IFERROR(INDEX($D$19:$D$82,MATCH(LARGE($F$19:$F$82,4),$F$19:$F$82,0)),"-")</f>
        <v>Spain</v>
      </c>
      <c r="E90" s="12">
        <f t="shared" ref="E90:E91" si="21">IFERROR(INDEX($E$19:$E$82,MATCH(LARGE($F$19:$F$82,3),$F$19:$F$82,0)),0)</f>
        <v>0.34852941176470587</v>
      </c>
      <c r="F90" s="13">
        <f t="shared" ref="F90:F91" si="22">LARGE($F$19:$F$82,3)</f>
        <v>4.5641248465742024E-2</v>
      </c>
    </row>
    <row r="91" spans="1:7" x14ac:dyDescent="0.35">
      <c r="A91" s="6">
        <v>5</v>
      </c>
      <c r="B91" s="3" t="str">
        <f>IFERROR(INDEX($B$19:$B$82,MATCH(LARGE($F$19:$F$82,5),$F$19:$F$82,0)),"-")</f>
        <v>Colombia</v>
      </c>
      <c r="C91" s="12">
        <f t="shared" si="20"/>
        <v>0.13095379306626403</v>
      </c>
      <c r="D91" s="3" t="str">
        <f>IFERROR(INDEX($D$19:$D$82,MATCH(LARGE($F$19:$F$82,5),$F$19:$F$82,0)),"-")</f>
        <v>Austria</v>
      </c>
      <c r="E91" s="12">
        <f t="shared" si="21"/>
        <v>0.34852941176470587</v>
      </c>
      <c r="F91" s="13">
        <f t="shared" si="22"/>
        <v>4.5641248465742024E-2</v>
      </c>
    </row>
  </sheetData>
  <mergeCells count="7">
    <mergeCell ref="A17:H17"/>
    <mergeCell ref="A85:F85"/>
    <mergeCell ref="A1:I1"/>
    <mergeCell ref="A2:I2"/>
    <mergeCell ref="B3:C3"/>
    <mergeCell ref="A5:D5"/>
    <mergeCell ref="F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I21"/>
  <sheetViews>
    <sheetView showGridLines="0" zoomScaleNormal="100" workbookViewId="0">
      <selection activeCell="I17" sqref="I17"/>
    </sheetView>
  </sheetViews>
  <sheetFormatPr defaultColWidth="8.54296875" defaultRowHeight="14.5" x14ac:dyDescent="0.35"/>
  <cols>
    <col min="1" max="1" width="14" customWidth="1"/>
    <col min="2" max="2" width="12" customWidth="1"/>
    <col min="3" max="3" width="17.81640625" customWidth="1"/>
    <col min="4" max="4" width="24" customWidth="1"/>
    <col min="5" max="5" width="6" customWidth="1"/>
    <col min="9" max="9" width="15.1796875" customWidth="1"/>
  </cols>
  <sheetData>
    <row r="1" spans="1:9" ht="17.25" customHeight="1" x14ac:dyDescent="0.35">
      <c r="A1" s="77" t="s">
        <v>440</v>
      </c>
      <c r="B1" s="77"/>
      <c r="C1" s="77"/>
      <c r="D1" s="77"/>
      <c r="E1" s="77"/>
      <c r="F1" s="77"/>
    </row>
    <row r="2" spans="1:9" ht="15" customHeight="1" x14ac:dyDescent="0.35">
      <c r="A2" s="67" t="s">
        <v>441</v>
      </c>
      <c r="B2" s="67"/>
      <c r="C2" s="67"/>
      <c r="D2" s="67"/>
      <c r="E2" s="67"/>
      <c r="F2" s="67"/>
    </row>
    <row r="3" spans="1:9" ht="15" customHeight="1" x14ac:dyDescent="0.35">
      <c r="A3" s="11" t="s">
        <v>413</v>
      </c>
      <c r="B3" s="71"/>
      <c r="C3" s="71"/>
    </row>
    <row r="5" spans="1:9" ht="15" customHeight="1" x14ac:dyDescent="0.35">
      <c r="A5" s="78" t="s">
        <v>442</v>
      </c>
      <c r="B5" s="78"/>
      <c r="C5" s="78"/>
      <c r="D5" s="78"/>
      <c r="E5" s="78"/>
    </row>
    <row r="6" spans="1:9" ht="15" customHeight="1" x14ac:dyDescent="0.35">
      <c r="A6" s="1" t="s">
        <v>356</v>
      </c>
      <c r="B6" s="1" t="s">
        <v>380</v>
      </c>
      <c r="C6" s="1" t="s">
        <v>443</v>
      </c>
      <c r="D6" s="1" t="s">
        <v>444</v>
      </c>
      <c r="E6" s="1" t="s">
        <v>417</v>
      </c>
    </row>
    <row r="7" spans="1:9" ht="15" customHeight="1" x14ac:dyDescent="0.35">
      <c r="A7" s="3" t="s">
        <v>96</v>
      </c>
      <c r="B7" s="4">
        <f>INDEX(ODDS!$B$97:$B$116,MATCH($A7,ODDS!$A$97:$A$116,0))</f>
        <v>10.4</v>
      </c>
      <c r="C7" s="19">
        <f t="shared" ref="C7:C14" si="0">MIN(1,2*B7/100)</f>
        <v>0.20800000000000002</v>
      </c>
      <c r="D7" s="5" t="s">
        <v>445</v>
      </c>
      <c r="E7" s="6">
        <f t="shared" ref="E7:E14" si="1">RANK(C7,$C$7:$C$14,0)</f>
        <v>3</v>
      </c>
    </row>
    <row r="8" spans="1:9" ht="15" customHeight="1" x14ac:dyDescent="0.35">
      <c r="A8" s="3" t="s">
        <v>70</v>
      </c>
      <c r="B8" s="4">
        <f>INDEX(ODDS!$B$97:$B$116,MATCH($A8,ODDS!$A$97:$A$116,0))</f>
        <v>15.9</v>
      </c>
      <c r="C8" s="19">
        <f t="shared" si="0"/>
        <v>0.318</v>
      </c>
      <c r="D8" s="5" t="s">
        <v>446</v>
      </c>
      <c r="E8" s="6">
        <f t="shared" si="1"/>
        <v>1</v>
      </c>
    </row>
    <row r="9" spans="1:9" ht="15" customHeight="1" x14ac:dyDescent="0.35">
      <c r="A9" s="3" t="s">
        <v>109</v>
      </c>
      <c r="B9" s="4">
        <f>INDEX(ODDS!$B$97:$B$116,MATCH($A9,ODDS!$A$97:$A$116,0))</f>
        <v>13</v>
      </c>
      <c r="C9" s="19">
        <f t="shared" si="0"/>
        <v>0.26</v>
      </c>
      <c r="D9" s="5" t="s">
        <v>447</v>
      </c>
      <c r="E9" s="6">
        <f t="shared" si="1"/>
        <v>2</v>
      </c>
    </row>
    <row r="10" spans="1:9" ht="15" customHeight="1" x14ac:dyDescent="0.35">
      <c r="A10" s="3" t="s">
        <v>105</v>
      </c>
      <c r="B10" s="4">
        <f>INDEX(ODDS!$B$97:$B$116,MATCH($A10,ODDS!$A$97:$A$116,0))</f>
        <v>7.3</v>
      </c>
      <c r="C10" s="19">
        <f t="shared" si="0"/>
        <v>0.14599999999999999</v>
      </c>
      <c r="D10" s="5" t="s">
        <v>448</v>
      </c>
      <c r="E10" s="6">
        <f t="shared" si="1"/>
        <v>4</v>
      </c>
      <c r="I10" s="49" t="s">
        <v>449</v>
      </c>
    </row>
    <row r="11" spans="1:9" ht="15" customHeight="1" x14ac:dyDescent="0.35">
      <c r="A11" s="3" t="s">
        <v>116</v>
      </c>
      <c r="B11" s="4">
        <f>INDEX(ODDS!$B$97:$B$116,MATCH($A11,ODDS!$A$97:$A$116,0))</f>
        <v>1.7</v>
      </c>
      <c r="C11" s="19">
        <f t="shared" si="0"/>
        <v>3.4000000000000002E-2</v>
      </c>
      <c r="D11" s="5" t="s">
        <v>450</v>
      </c>
      <c r="E11" s="6">
        <f t="shared" si="1"/>
        <v>5</v>
      </c>
    </row>
    <row r="12" spans="1:9" ht="15" customHeight="1" x14ac:dyDescent="0.35">
      <c r="A12" s="3" t="s">
        <v>110</v>
      </c>
      <c r="B12" s="4">
        <f>INDEX(ODDS!$B$97:$B$116,MATCH($A12,ODDS!$A$97:$A$116,0))</f>
        <v>1.2</v>
      </c>
      <c r="C12" s="19">
        <f t="shared" si="0"/>
        <v>2.4E-2</v>
      </c>
      <c r="D12" s="5" t="s">
        <v>447</v>
      </c>
      <c r="E12" s="6">
        <f t="shared" si="1"/>
        <v>6</v>
      </c>
    </row>
    <row r="13" spans="1:9" ht="15" customHeight="1" x14ac:dyDescent="0.35">
      <c r="A13" s="3" t="s">
        <v>80</v>
      </c>
      <c r="B13" s="4">
        <f>INDEX(ODDS!$B$97:$B$116,MATCH($A13,ODDS!$A$97:$A$116,0))</f>
        <v>1.2</v>
      </c>
      <c r="C13" s="19">
        <f t="shared" si="0"/>
        <v>2.4E-2</v>
      </c>
      <c r="D13" s="5" t="s">
        <v>451</v>
      </c>
      <c r="E13" s="6">
        <f t="shared" si="1"/>
        <v>6</v>
      </c>
    </row>
    <row r="14" spans="1:9" ht="15" customHeight="1" x14ac:dyDescent="0.35">
      <c r="A14" s="3" t="s">
        <v>100</v>
      </c>
      <c r="B14" s="4">
        <f>INDEX(ODDS!$B$97:$B$116,MATCH($A14,ODDS!$A$97:$A$116,0))</f>
        <v>0.5</v>
      </c>
      <c r="C14" s="19">
        <f t="shared" si="0"/>
        <v>0.01</v>
      </c>
      <c r="D14" s="5" t="s">
        <v>452</v>
      </c>
      <c r="E14" s="6">
        <f t="shared" si="1"/>
        <v>8</v>
      </c>
    </row>
    <row r="17" spans="1:6" ht="15" customHeight="1" x14ac:dyDescent="0.35">
      <c r="A17" s="69" t="s">
        <v>453</v>
      </c>
      <c r="B17" s="69"/>
      <c r="C17" s="69"/>
      <c r="D17" s="69"/>
      <c r="E17" s="69"/>
      <c r="F17" s="69"/>
    </row>
    <row r="18" spans="1:6" ht="15" customHeight="1" x14ac:dyDescent="0.35">
      <c r="A18" s="1" t="s">
        <v>335</v>
      </c>
      <c r="B18" s="1" t="s">
        <v>5</v>
      </c>
      <c r="C18" s="1" t="s">
        <v>454</v>
      </c>
      <c r="D18" s="1" t="s">
        <v>6</v>
      </c>
      <c r="E18" s="1" t="s">
        <v>454</v>
      </c>
      <c r="F18" s="1" t="s">
        <v>337</v>
      </c>
    </row>
    <row r="19" spans="1:6" ht="15" customHeight="1" x14ac:dyDescent="0.35">
      <c r="A19" s="7">
        <v>1</v>
      </c>
      <c r="B19" s="14" t="str">
        <f>$A$7</f>
        <v>Argentina</v>
      </c>
      <c r="C19" s="20">
        <f>$C$7</f>
        <v>0.20800000000000002</v>
      </c>
      <c r="D19" s="14" t="str">
        <f>$A$8</f>
        <v>Spain</v>
      </c>
      <c r="E19" s="20">
        <f>$C$8</f>
        <v>0.318</v>
      </c>
      <c r="F19" s="16">
        <f>C19*E19</f>
        <v>6.6144000000000008E-2</v>
      </c>
    </row>
    <row r="20" spans="1:6" ht="15" customHeight="1" x14ac:dyDescent="0.35">
      <c r="A20" s="6">
        <v>2</v>
      </c>
      <c r="B20" s="3" t="str">
        <f>$A$7</f>
        <v>Argentina</v>
      </c>
      <c r="C20" s="9">
        <f>$C$7</f>
        <v>0.20800000000000002</v>
      </c>
      <c r="D20" s="3" t="str">
        <f>$A$9</f>
        <v>England</v>
      </c>
      <c r="E20" s="9">
        <f>$C$9</f>
        <v>0.26</v>
      </c>
      <c r="F20" s="13">
        <f>C20*E20</f>
        <v>5.408000000000001E-2</v>
      </c>
    </row>
    <row r="21" spans="1:6" ht="15" customHeight="1" x14ac:dyDescent="0.35">
      <c r="A21" s="6">
        <v>3</v>
      </c>
      <c r="B21" s="3" t="str">
        <f>$A$8</f>
        <v>Spain</v>
      </c>
      <c r="C21" s="9">
        <f>$C$8</f>
        <v>0.318</v>
      </c>
      <c r="D21" s="3" t="str">
        <f>$A$9</f>
        <v>England</v>
      </c>
      <c r="E21" s="9">
        <f>$C$9</f>
        <v>0.26</v>
      </c>
      <c r="F21" s="13">
        <f>C21*E21</f>
        <v>8.2680000000000003E-2</v>
      </c>
    </row>
  </sheetData>
  <mergeCells count="5">
    <mergeCell ref="A1:F1"/>
    <mergeCell ref="A2:F2"/>
    <mergeCell ref="B3:C3"/>
    <mergeCell ref="A5:E5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2C477BCAFF844A1EFEF551E6D25C8" ma:contentTypeVersion="20" ma:contentTypeDescription="Create a new document." ma:contentTypeScope="" ma:versionID="d793b7ea5c144d702a0dab564f527f36">
  <xsd:schema xmlns:xsd="http://www.w3.org/2001/XMLSchema" xmlns:xs="http://www.w3.org/2001/XMLSchema" xmlns:p="http://schemas.microsoft.com/office/2006/metadata/properties" xmlns:ns2="c29a6bc8-89df-44a8-8da1-3d0f5e3488b7" xmlns:ns3="d4a150d1-22b6-4bf2-b04d-7a8c27f6092a" targetNamespace="http://schemas.microsoft.com/office/2006/metadata/properties" ma:root="true" ma:fieldsID="441f5b99082d0ace5f890566d4e92992" ns2:_="" ns3:_="">
    <xsd:import namespace="c29a6bc8-89df-44a8-8da1-3d0f5e3488b7"/>
    <xsd:import namespace="d4a150d1-22b6-4bf2-b04d-7a8c27f609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Context" minOccurs="0"/>
                <xsd:element ref="ns2:Tag" minOccurs="0"/>
                <xsd:element ref="ns2:Order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a6bc8-89df-44a8-8da1-3d0f5e3488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db63025-89e1-4c51-b580-5321179341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xt" ma:index="24" nillable="true" ma:displayName="Context" ma:format="Dropdown" ma:internalName="Context">
      <xsd:simpleType>
        <xsd:restriction base="dms:Text">
          <xsd:maxLength value="255"/>
        </xsd:restriction>
      </xsd:simpleType>
    </xsd:element>
    <xsd:element name="Tag" ma:index="25" nillable="true" ma:displayName="Tag" ma:format="Dropdown" ma:internalName="Tag">
      <xsd:simpleType>
        <xsd:union memberTypes="dms:Text">
          <xsd:simpleType>
            <xsd:restriction base="dms:Choice">
              <xsd:enumeration value="Recurring"/>
              <xsd:enumeration value="Adhoc"/>
              <xsd:enumeration value="Choice 3"/>
            </xsd:restriction>
          </xsd:simpleType>
        </xsd:union>
      </xsd:simpleType>
    </xsd:element>
    <xsd:element name="Order0" ma:index="26" nillable="true" ma:displayName="Order" ma:format="Dropdown" ma:internalName="Order0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150d1-22b6-4bf2-b04d-7a8c27f60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c6a8e1d-9973-49ff-bf5e-ea7f8078157c}" ma:internalName="TaxCatchAll" ma:showField="CatchAllData" ma:web="d4a150d1-22b6-4bf2-b04d-7a8c27f609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xt xmlns="c29a6bc8-89df-44a8-8da1-3d0f5e3488b7" xsi:nil="true"/>
    <Order0 xmlns="c29a6bc8-89df-44a8-8da1-3d0f5e3488b7" xsi:nil="true"/>
    <Tag xmlns="c29a6bc8-89df-44a8-8da1-3d0f5e3488b7" xsi:nil="true"/>
    <TaxCatchAll xmlns="d4a150d1-22b6-4bf2-b04d-7a8c27f6092a" xsi:nil="true"/>
    <lcf76f155ced4ddcb4097134ff3c332f xmlns="c29a6bc8-89df-44a8-8da1-3d0f5e3488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7825FB-9481-416B-B3B1-60B53CD72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9a6bc8-89df-44a8-8da1-3d0f5e3488b7"/>
    <ds:schemaRef ds:uri="d4a150d1-22b6-4bf2-b04d-7a8c27f60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CFCB12-6222-40E7-9EBB-F8CC6193C262}">
  <ds:schemaRefs>
    <ds:schemaRef ds:uri="http://schemas.microsoft.com/office/2006/metadata/properties"/>
    <ds:schemaRef ds:uri="http://schemas.microsoft.com/office/infopath/2007/PartnerControls"/>
    <ds:schemaRef ds:uri="c29a6bc8-89df-44a8-8da1-3d0f5e3488b7"/>
    <ds:schemaRef ds:uri="d4a150d1-22b6-4bf2-b04d-7a8c27f6092a"/>
  </ds:schemaRefs>
</ds:datastoreItem>
</file>

<file path=customXml/itemProps3.xml><?xml version="1.0" encoding="utf-8"?>
<ds:datastoreItem xmlns:ds="http://schemas.openxmlformats.org/officeDocument/2006/customXml" ds:itemID="{EA09F69F-D177-43D5-B8F2-EBA8621827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SCHEDULE</vt:lpstr>
      <vt:lpstr>DALLAS GAMES</vt:lpstr>
      <vt:lpstr>DASHBOARD</vt:lpstr>
      <vt:lpstr>ODDS</vt:lpstr>
      <vt:lpstr>POINTS</vt:lpstr>
      <vt:lpstr>CALC</vt:lpstr>
      <vt:lpstr>M78</vt:lpstr>
      <vt:lpstr>M83</vt:lpstr>
      <vt:lpstr>M84</vt:lpstr>
      <vt:lpstr>M88</vt:lpstr>
      <vt:lpstr>M93</vt:lpstr>
      <vt:lpstr>M101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Christopher Hart</cp:lastModifiedBy>
  <cp:revision>0</cp:revision>
  <dcterms:created xsi:type="dcterms:W3CDTF">2026-02-10T16:22:42Z</dcterms:created>
  <dcterms:modified xsi:type="dcterms:W3CDTF">2026-02-18T19:19:06Z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0x010100CAD2C477BCAFF844A1EFEF551E6D25C8</vt:lpwstr>
  </property>
  <property fmtid="{D5CDD505-2E9C-101B-9397-08002B2CF9AE}" pid="3" name="MediaServiceImageTags">
    <vt:lpwstr/>
  </property>
</Properties>
</file>